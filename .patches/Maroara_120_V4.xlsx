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 tabRatio="799" firstSheet="11" activeTab="18"/>
  </bookViews>
  <sheets>
    <sheet name="📖 HOW TO USE" sheetId="2" r:id="rId1"/>
    <sheet name="📊 DASHBOARD" sheetId="1" r:id="rId2"/>
    <sheet name="🏗️ Projects" sheetId="3" r:id="rId3"/>
    <sheet name="👥 Partners" sheetId="4" r:id="rId4"/>
    <sheet name="🏘️ Flat Register" sheetId="5" r:id="rId5"/>
    <sheet name="👤 Customers" sheetId="6" r:id="rId6"/>
    <sheet name="📅 Installments AUTO" sheetId="15" r:id="rId7"/>
    <sheet name="📋 Booking Register" sheetId="30" r:id="rId8"/>
    <sheet name="📄 Customer Statement" sheetId="31" r:id="rId9"/>
    <sheet name="📒 Payment Register" sheetId="29" r:id="rId10"/>
    <sheet name="📋 Receivables AUTO" sheetId="16" r:id="rId11"/>
    <sheet name="🏪 Vendors" sheetId="8" r:id="rId12"/>
    <sheet name="👷 Contractors" sheetId="9" r:id="rId13"/>
    <sheet name="📦 Materials" sheetId="10" r:id="rId14"/>
    <sheet name="📦 Inventory AUTO" sheetId="18" r:id="rId15"/>
    <sheet name="📦 PURCHASES ← Enter Here" sheetId="13" r:id="rId16"/>
    <sheet name="🏗️ Site Log" sheetId="14" r:id="rId17"/>
    <sheet name="📤 Payables AUTO" sheetId="17" r:id="rId18"/>
    <sheet name="💳 PAYMENTS Entery" sheetId="11" r:id="rId19"/>
    <sheet name="🏦 Bank Book AUTO" sheetId="19" r:id="rId20"/>
    <sheet name="💵 Cash Book AUTO" sheetId="20" r:id="rId21"/>
    <sheet name="📒 General Ledger AUTO" sheetId="21" r:id="rId22"/>
    <sheet name="⚖️ Trial Balance AUTO" sheetId="22" r:id="rId23"/>
    <sheet name="📊 P&amp;L AUTO" sheetId="23" r:id="rId24"/>
    <sheet name="🏛️ Balance Sheet AUTO" sheetId="24" r:id="rId25"/>
    <sheet name="📈 Sales AUTO" sheetId="26" r:id="rId26"/>
    <sheet name="🔍 Audit Trail" sheetId="27" r:id="rId27"/>
    <sheet name="🧾 EXPENSES ← Enter Here" sheetId="12" r:id="rId28"/>
    <sheet name="📋 Pay Plans" sheetId="7" r:id="rId29"/>
    <sheet name="Sheet1" sheetId="28" r:id="rId30"/>
    <sheet name="💧 Cash Flow AUTO" sheetId="25" r:id="rId31"/>
  </sheets>
  <externalReferences>
    <externalReference r:id="rId32"/>
    <externalReference r:id="rId33"/>
  </externalReferences>
  <definedNames>
    <definedName name="_xlnm._FilterDatabase" localSheetId="4" hidden="1">'🏘️ Flat Register'!$A$7:$Y$7</definedName>
    <definedName name="_xlnm._FilterDatabase" localSheetId="5" hidden="1">'👤 Customers'!$A$4:$T$4</definedName>
    <definedName name="_xlnm._FilterDatabase" localSheetId="18" hidden="1">'💳 PAYMENTS Entery'!$A$8:$R$8</definedName>
    <definedName name="_xlnm._FilterDatabase" localSheetId="6" hidden="1">'📅 Installments AUTO'!$A$8:$S$8</definedName>
    <definedName name="_xlnm._FilterDatabase" localSheetId="7" hidden="1">'📋 Booking Register'!$A$4:$U$4</definedName>
    <definedName name="_xlnm._FilterDatabase" localSheetId="10" hidden="1">'📋 Receivables AUTO'!$A$8:$O$8</definedName>
    <definedName name="_xlnm._FilterDatabase" localSheetId="9" hidden="1">'📒 Payment Register'!$A$8:$K$8</definedName>
    <definedName name="_xlnm._FilterDatabase" localSheetId="15" hidden="1">'📦 PURCHASES ← Enter Here'!$A$5:$P$5</definedName>
    <definedName name="_xlnm._FilterDatabase" localSheetId="26" hidden="1">'🔍 Audit Trail'!$A$3:$K$3</definedName>
    <definedName name="_xlnm._FilterDatabase" localSheetId="27" hidden="1">'🧾 EXPENSES ← Enter Here'!$A$8:$N$8</definedName>
    <definedName name="_xlnm.Print_Area" localSheetId="8">'📄 Customer Statement'!$A$1:$O$48</definedName>
    <definedName name="_xlnm.Print_Titles" localSheetId="8">'📄 Customer Statement'!$1:$2</definedName>
    <definedName name="_xlnm.Print_Titles" localSheetId="7">'📋 Booking Register'!$1:$2</definedName>
    <definedName name="_xlnm.Print_Titles" localSheetId="9">'📒 Payment Register'!$1:$2</definedName>
  </definedNames>
  <calcPr calcId="125725"/>
  <extLst>
    <ext uri="GoogleSheetsCustomDataVersion2">
      <go:sheetsCustomData xmlns:go="http://customooxmlschemas.google.com/" r:id="rId34" roundtripDataChecksum="QtDt41H4Vegbeqkh+SBY9WPY3l5LugM9TXBdg2PPMiM="/>
    </ext>
  </extLst>
</workbook>
</file>

<file path=xl/calcChain.xml><?xml version="1.0" encoding="utf-8"?>
<calcChain xmlns="http://schemas.openxmlformats.org/spreadsheetml/2006/main">
  <c r="Q7" i="19"/>
  <c r="Q6"/>
  <c r="Q8" s="1"/>
  <c r="E12"/>
  <c r="E13"/>
  <c r="D9"/>
  <c r="C9"/>
  <c r="D8"/>
  <c r="C8"/>
  <c r="E8" s="1"/>
  <c r="C7"/>
  <c r="C6"/>
  <c r="D9" i="16"/>
  <c r="G16" i="11"/>
  <c r="E16"/>
  <c r="C10" i="16"/>
  <c r="C9"/>
  <c r="M12" i="5"/>
  <c r="M13"/>
  <c r="M14"/>
  <c r="M15"/>
  <c r="M16"/>
  <c r="M17"/>
  <c r="M47" i="31"/>
  <c r="F45"/>
  <c r="E45"/>
  <c r="D45"/>
  <c r="F42"/>
  <c r="F41"/>
  <c r="F40"/>
  <c r="F39"/>
  <c r="F38"/>
  <c r="F37"/>
  <c r="E36"/>
  <c r="E35"/>
  <c r="E34"/>
  <c r="E33"/>
  <c r="D31"/>
  <c r="C31"/>
  <c r="D30"/>
  <c r="C30"/>
  <c r="D29"/>
  <c r="C29"/>
  <c r="C19"/>
  <c r="J6" i="30"/>
  <c r="J5"/>
  <c r="M9" i="5"/>
  <c r="M10"/>
  <c r="M11"/>
  <c r="M8"/>
  <c r="Q8" i="6"/>
  <c r="R8"/>
  <c r="E9" i="19" l="1"/>
  <c r="E44" i="31"/>
  <c r="F43" s="1"/>
  <c r="N13" i="5"/>
  <c r="I6" i="30"/>
  <c r="I5"/>
  <c r="H6"/>
  <c r="H5"/>
  <c r="G6"/>
  <c r="G5"/>
  <c r="F6"/>
  <c r="F5"/>
  <c r="R7" i="6"/>
  <c r="R6"/>
  <c r="Q7"/>
  <c r="Q6"/>
  <c r="E6" i="30" l="1"/>
  <c r="E5"/>
  <c r="A6"/>
  <c r="A5"/>
  <c r="M6"/>
  <c r="Q6" s="1"/>
  <c r="M5"/>
  <c r="Q5" s="1"/>
  <c r="F5" i="29"/>
  <c r="P5"/>
  <c r="K5"/>
  <c r="A5"/>
  <c r="A10"/>
  <c r="B10"/>
  <c r="D10"/>
  <c r="F10"/>
  <c r="G10"/>
  <c r="H10"/>
  <c r="I10"/>
  <c r="J10"/>
  <c r="K10"/>
  <c r="A11"/>
  <c r="B11"/>
  <c r="D11"/>
  <c r="F11"/>
  <c r="G11"/>
  <c r="H11"/>
  <c r="I11"/>
  <c r="J11"/>
  <c r="K11"/>
  <c r="A12"/>
  <c r="B12"/>
  <c r="D12"/>
  <c r="F12"/>
  <c r="G12"/>
  <c r="H12"/>
  <c r="I12"/>
  <c r="J12"/>
  <c r="K12"/>
  <c r="A13"/>
  <c r="B13"/>
  <c r="D13"/>
  <c r="F13"/>
  <c r="G13"/>
  <c r="H13"/>
  <c r="I13"/>
  <c r="J13"/>
  <c r="K13"/>
  <c r="B14"/>
  <c r="D14"/>
  <c r="F14"/>
  <c r="G14"/>
  <c r="H14"/>
  <c r="I14"/>
  <c r="J14"/>
  <c r="K14"/>
  <c r="A15"/>
  <c r="B15"/>
  <c r="D15"/>
  <c r="F15"/>
  <c r="G15"/>
  <c r="H15"/>
  <c r="I15"/>
  <c r="J15"/>
  <c r="K15"/>
  <c r="K9"/>
  <c r="J9"/>
  <c r="I9"/>
  <c r="H9"/>
  <c r="G9"/>
  <c r="F9"/>
  <c r="D9"/>
  <c r="B9"/>
  <c r="A9"/>
  <c r="G12" i="11"/>
  <c r="C10" i="29" s="1"/>
  <c r="G13" i="11"/>
  <c r="C11" i="29" s="1"/>
  <c r="G14" i="11"/>
  <c r="C12" i="29" s="1"/>
  <c r="G15" i="11"/>
  <c r="C13" i="29" s="1"/>
  <c r="G11" i="11"/>
  <c r="E12"/>
  <c r="E10" i="29" s="1"/>
  <c r="E13" i="11"/>
  <c r="E11" i="29" s="1"/>
  <c r="E14" i="11"/>
  <c r="E12" i="29" s="1"/>
  <c r="E15" i="11"/>
  <c r="E13" i="29" s="1"/>
  <c r="E11" i="11"/>
  <c r="E9" i="29" s="1"/>
  <c r="A11" i="11"/>
  <c r="Q11" l="1"/>
  <c r="C9" i="29"/>
  <c r="N9" i="5"/>
  <c r="N10"/>
  <c r="N11"/>
  <c r="N12"/>
  <c r="N14"/>
  <c r="N15"/>
  <c r="N16"/>
  <c r="N17"/>
  <c r="N18"/>
  <c r="N8"/>
  <c r="O4"/>
  <c r="L4"/>
  <c r="E4"/>
  <c r="I4"/>
  <c r="J21" i="21"/>
  <c r="F9" i="4"/>
  <c r="I9"/>
  <c r="E8" i="17"/>
  <c r="E7"/>
  <c r="E6"/>
  <c r="D8"/>
  <c r="F4" i="9"/>
  <c r="J4" i="8"/>
  <c r="I6"/>
  <c r="I7"/>
  <c r="J7"/>
  <c r="B11" i="18"/>
  <c r="C11"/>
  <c r="D11"/>
  <c r="E11"/>
  <c r="F11"/>
  <c r="G11"/>
  <c r="H11" s="1"/>
  <c r="I11"/>
  <c r="J11"/>
  <c r="L11"/>
  <c r="H6" i="17"/>
  <c r="B25" i="31" l="1"/>
  <c r="C12"/>
  <c r="C25"/>
  <c r="C13"/>
  <c r="C16"/>
  <c r="C14"/>
  <c r="K10"/>
  <c r="L18"/>
  <c r="L17"/>
  <c r="K11"/>
  <c r="L19"/>
  <c r="K12"/>
  <c r="C10"/>
  <c r="C20"/>
  <c r="C17"/>
  <c r="L16"/>
  <c r="C22"/>
  <c r="A25"/>
  <c r="C11"/>
  <c r="C21"/>
  <c r="K7" i="8"/>
  <c r="K11" i="18"/>
  <c r="B10"/>
  <c r="C10"/>
  <c r="D10"/>
  <c r="E10"/>
  <c r="F10"/>
  <c r="G10"/>
  <c r="H10" s="1"/>
  <c r="I10"/>
  <c r="J10"/>
  <c r="L10"/>
  <c r="K10" l="1"/>
  <c r="A8" i="13"/>
  <c r="E8"/>
  <c r="G8"/>
  <c r="H8"/>
  <c r="J8"/>
  <c r="K8" s="1"/>
  <c r="M8" s="1"/>
  <c r="J7" i="10"/>
  <c r="L15" i="11"/>
  <c r="A15"/>
  <c r="L14"/>
  <c r="A17"/>
  <c r="E17"/>
  <c r="E15" i="29" s="1"/>
  <c r="G17" i="11"/>
  <c r="C15" i="29" s="1"/>
  <c r="A18" i="11"/>
  <c r="E18"/>
  <c r="G18"/>
  <c r="A19"/>
  <c r="E19"/>
  <c r="G19"/>
  <c r="A16"/>
  <c r="A14" i="29" s="1"/>
  <c r="E14"/>
  <c r="L13" i="11"/>
  <c r="A21" i="15"/>
  <c r="B21"/>
  <c r="Q5" i="6"/>
  <c r="L21" i="15"/>
  <c r="C14" i="29" l="1"/>
  <c r="A22" i="15"/>
  <c r="B22"/>
  <c r="L22"/>
  <c r="B12" l="1"/>
  <c r="B13"/>
  <c r="B14"/>
  <c r="B15"/>
  <c r="B16"/>
  <c r="B17"/>
  <c r="B18"/>
  <c r="B19"/>
  <c r="B20"/>
  <c r="B11"/>
  <c r="L12" i="11"/>
  <c r="L11"/>
  <c r="A14"/>
  <c r="A16" i="15"/>
  <c r="A17"/>
  <c r="A18"/>
  <c r="A19"/>
  <c r="A20"/>
  <c r="A13" i="11"/>
  <c r="L17" i="15"/>
  <c r="L19"/>
  <c r="L16"/>
  <c r="L20"/>
  <c r="L18"/>
  <c r="M11" i="1" l="1"/>
  <c r="R14" i="5"/>
  <c r="R15"/>
  <c r="R16"/>
  <c r="R17"/>
  <c r="R18"/>
  <c r="H13"/>
  <c r="K13" s="1"/>
  <c r="Q13"/>
  <c r="H14"/>
  <c r="K14" s="1"/>
  <c r="Q14"/>
  <c r="H15"/>
  <c r="K15" s="1"/>
  <c r="Q15"/>
  <c r="H16"/>
  <c r="K16" s="1"/>
  <c r="Q16"/>
  <c r="H17"/>
  <c r="K17" s="1"/>
  <c r="Q17"/>
  <c r="H18"/>
  <c r="K18" s="1"/>
  <c r="E25" i="31" s="1"/>
  <c r="Q18" i="5"/>
  <c r="D16" i="4"/>
  <c r="D15"/>
  <c r="H9"/>
  <c r="J9" s="1"/>
  <c r="H8"/>
  <c r="F4" i="26"/>
  <c r="H14" i="25"/>
  <c r="H8"/>
  <c r="H7"/>
  <c r="H6"/>
  <c r="H5"/>
  <c r="H4"/>
  <c r="H11" i="24"/>
  <c r="H22" i="23"/>
  <c r="H21"/>
  <c r="H20"/>
  <c r="H19"/>
  <c r="H18"/>
  <c r="H13"/>
  <c r="H12"/>
  <c r="H11"/>
  <c r="H10"/>
  <c r="H9"/>
  <c r="F16" i="22"/>
  <c r="F15"/>
  <c r="F14"/>
  <c r="E13"/>
  <c r="D13"/>
  <c r="F13" s="1"/>
  <c r="E12"/>
  <c r="D12"/>
  <c r="F12" s="1"/>
  <c r="E11"/>
  <c r="F11" s="1"/>
  <c r="D11"/>
  <c r="F10"/>
  <c r="F9"/>
  <c r="E8"/>
  <c r="E17" s="1"/>
  <c r="D4" s="1"/>
  <c r="D8"/>
  <c r="F8" s="1"/>
  <c r="E7"/>
  <c r="D7"/>
  <c r="F7" s="1"/>
  <c r="G4"/>
  <c r="J9" i="21"/>
  <c r="J10" s="1"/>
  <c r="J11" s="1"/>
  <c r="J12" s="1"/>
  <c r="J13" s="1"/>
  <c r="J14" s="1"/>
  <c r="J15" s="1"/>
  <c r="J16" s="1"/>
  <c r="J17" s="1"/>
  <c r="J18" s="1"/>
  <c r="J19" s="1"/>
  <c r="J20" s="1"/>
  <c r="I5"/>
  <c r="E5"/>
  <c r="A5"/>
  <c r="D6" i="20"/>
  <c r="D5"/>
  <c r="F18" i="19"/>
  <c r="F19" s="1"/>
  <c r="F17"/>
  <c r="D7"/>
  <c r="E7" s="1"/>
  <c r="D6"/>
  <c r="J9" i="18"/>
  <c r="I9"/>
  <c r="G9"/>
  <c r="F9"/>
  <c r="E9"/>
  <c r="D9"/>
  <c r="C9"/>
  <c r="B9"/>
  <c r="J8"/>
  <c r="I8"/>
  <c r="G8"/>
  <c r="F8"/>
  <c r="E8"/>
  <c r="D8"/>
  <c r="C8"/>
  <c r="B8"/>
  <c r="F8" i="17"/>
  <c r="I8" s="1"/>
  <c r="C8"/>
  <c r="G7"/>
  <c r="C7"/>
  <c r="G6"/>
  <c r="C6"/>
  <c r="A15" i="15"/>
  <c r="A14"/>
  <c r="A13"/>
  <c r="A12"/>
  <c r="A11"/>
  <c r="G4" i="14"/>
  <c r="A4"/>
  <c r="J7" i="13"/>
  <c r="K7" s="1"/>
  <c r="H7"/>
  <c r="G7"/>
  <c r="E7"/>
  <c r="I5" i="10" s="1"/>
  <c r="A7" i="13"/>
  <c r="J6"/>
  <c r="K6" s="1"/>
  <c r="H6"/>
  <c r="G6"/>
  <c r="E6"/>
  <c r="A6"/>
  <c r="A13" i="12"/>
  <c r="A12"/>
  <c r="A11"/>
  <c r="P5"/>
  <c r="K5"/>
  <c r="F5"/>
  <c r="A5"/>
  <c r="A12" i="11"/>
  <c r="Q5"/>
  <c r="L5"/>
  <c r="G5"/>
  <c r="A5"/>
  <c r="J6" i="10"/>
  <c r="J5"/>
  <c r="J4"/>
  <c r="I5" i="9"/>
  <c r="F5"/>
  <c r="I4"/>
  <c r="J6" i="8"/>
  <c r="J5"/>
  <c r="Q12" i="5"/>
  <c r="H12"/>
  <c r="K12" s="1"/>
  <c r="Q11"/>
  <c r="H11"/>
  <c r="K11" s="1"/>
  <c r="Q10"/>
  <c r="H10"/>
  <c r="K10" s="1"/>
  <c r="Q9"/>
  <c r="H9"/>
  <c r="K9" s="1"/>
  <c r="Q8"/>
  <c r="H8"/>
  <c r="K8" s="1"/>
  <c r="R4"/>
  <c r="H4" i="23"/>
  <c r="A4" i="5"/>
  <c r="M4" i="3"/>
  <c r="L4"/>
  <c r="K4"/>
  <c r="H4"/>
  <c r="I4" s="1"/>
  <c r="M38" i="1"/>
  <c r="B33"/>
  <c r="B32"/>
  <c r="B31"/>
  <c r="B30"/>
  <c r="B29"/>
  <c r="B28"/>
  <c r="B24"/>
  <c r="A24"/>
  <c r="B23"/>
  <c r="A23"/>
  <c r="M15"/>
  <c r="S11"/>
  <c r="G11"/>
  <c r="U7"/>
  <c r="A7"/>
  <c r="L13" i="15"/>
  <c r="L14"/>
  <c r="L10" i="16"/>
  <c r="L8" i="18"/>
  <c r="U18" i="5"/>
  <c r="L12" i="15"/>
  <c r="U9" i="5"/>
  <c r="R5" i="6"/>
  <c r="M10" i="16"/>
  <c r="U10" i="5"/>
  <c r="U15"/>
  <c r="L9" i="18"/>
  <c r="M9" i="16"/>
  <c r="L11" i="15"/>
  <c r="U11" i="5"/>
  <c r="L9" i="16"/>
  <c r="U16" i="5"/>
  <c r="U8"/>
  <c r="U13"/>
  <c r="U14"/>
  <c r="U17"/>
  <c r="L15" i="15"/>
  <c r="H7" i="17"/>
  <c r="U12" i="5"/>
  <c r="M6" i="6" l="1"/>
  <c r="K25" i="31"/>
  <c r="M7" i="6"/>
  <c r="M8"/>
  <c r="L25" i="31"/>
  <c r="F25"/>
  <c r="L8" i="6"/>
  <c r="L6"/>
  <c r="L7"/>
  <c r="Q15" i="11"/>
  <c r="R15" s="1"/>
  <c r="Q19"/>
  <c r="R19" s="1"/>
  <c r="Q16"/>
  <c r="Q17"/>
  <c r="R17" s="1"/>
  <c r="Q18"/>
  <c r="Q13"/>
  <c r="R13" s="1"/>
  <c r="Q14"/>
  <c r="R14" s="1"/>
  <c r="D12" i="26"/>
  <c r="B14"/>
  <c r="C15"/>
  <c r="D16"/>
  <c r="E17"/>
  <c r="F18"/>
  <c r="D17"/>
  <c r="C17"/>
  <c r="H13"/>
  <c r="B15"/>
  <c r="C16"/>
  <c r="E18"/>
  <c r="G13"/>
  <c r="H14"/>
  <c r="D18"/>
  <c r="F13"/>
  <c r="G14"/>
  <c r="H15"/>
  <c r="B17"/>
  <c r="C18"/>
  <c r="G15"/>
  <c r="B18"/>
  <c r="H18"/>
  <c r="E13"/>
  <c r="F14"/>
  <c r="H16"/>
  <c r="F16"/>
  <c r="D13"/>
  <c r="E14"/>
  <c r="F15"/>
  <c r="G16"/>
  <c r="H17"/>
  <c r="D14"/>
  <c r="G17"/>
  <c r="C13"/>
  <c r="E15"/>
  <c r="B13"/>
  <c r="C14"/>
  <c r="D15"/>
  <c r="E16"/>
  <c r="F17"/>
  <c r="G18"/>
  <c r="D21" i="15"/>
  <c r="E21" s="1"/>
  <c r="B16" i="26"/>
  <c r="D22" i="15"/>
  <c r="E22" s="1"/>
  <c r="D16"/>
  <c r="E16" s="1"/>
  <c r="R18" i="11"/>
  <c r="R16"/>
  <c r="D19" i="15"/>
  <c r="E19" s="1"/>
  <c r="D18"/>
  <c r="E18" s="1"/>
  <c r="D17"/>
  <c r="E17" s="1"/>
  <c r="D20"/>
  <c r="E20" s="1"/>
  <c r="D14"/>
  <c r="E14" s="1"/>
  <c r="D13"/>
  <c r="E13" s="1"/>
  <c r="D12"/>
  <c r="E12" s="1"/>
  <c r="D15"/>
  <c r="E15" s="1"/>
  <c r="M7" i="13"/>
  <c r="D7" i="17"/>
  <c r="F7" s="1"/>
  <c r="I7" s="1"/>
  <c r="I5" i="8"/>
  <c r="K5" s="1"/>
  <c r="M6" i="13"/>
  <c r="I4" i="8"/>
  <c r="K4" s="1"/>
  <c r="D6" i="17"/>
  <c r="F6" s="1"/>
  <c r="I6" s="1"/>
  <c r="J4" i="3"/>
  <c r="E6" i="19"/>
  <c r="D7" i="20"/>
  <c r="G15" i="1" s="1"/>
  <c r="H23" i="23"/>
  <c r="F8" i="4"/>
  <c r="I8"/>
  <c r="I6" i="10"/>
  <c r="G6"/>
  <c r="K6" s="1"/>
  <c r="I7"/>
  <c r="G7"/>
  <c r="G5"/>
  <c r="H5" s="1"/>
  <c r="I4"/>
  <c r="G4"/>
  <c r="H4" s="1"/>
  <c r="K8" i="18"/>
  <c r="H8"/>
  <c r="H9"/>
  <c r="K9"/>
  <c r="K6" i="8"/>
  <c r="C33" i="1"/>
  <c r="C31"/>
  <c r="B34"/>
  <c r="H14" i="23"/>
  <c r="C29" i="1"/>
  <c r="C32"/>
  <c r="I18" i="26"/>
  <c r="I13"/>
  <c r="I14"/>
  <c r="I17"/>
  <c r="I16"/>
  <c r="I15"/>
  <c r="J20" i="15"/>
  <c r="M20" s="1"/>
  <c r="Q21"/>
  <c r="R21" s="1"/>
  <c r="Q22"/>
  <c r="R22" s="1"/>
  <c r="A5"/>
  <c r="H9" i="25"/>
  <c r="Q16" i="15"/>
  <c r="R16" s="1"/>
  <c r="Q17"/>
  <c r="R17" s="1"/>
  <c r="Q18"/>
  <c r="R18" s="1"/>
  <c r="Q19"/>
  <c r="R19" s="1"/>
  <c r="Q20"/>
  <c r="R20" s="1"/>
  <c r="S10" i="5"/>
  <c r="S11"/>
  <c r="S12"/>
  <c r="S13"/>
  <c r="S14"/>
  <c r="S15"/>
  <c r="S16"/>
  <c r="S17"/>
  <c r="S18"/>
  <c r="E7" i="1"/>
  <c r="A11"/>
  <c r="M7"/>
  <c r="I7"/>
  <c r="S38"/>
  <c r="C28"/>
  <c r="L5" i="6"/>
  <c r="Q12" i="11"/>
  <c r="R12" s="1"/>
  <c r="Q5" i="16"/>
  <c r="D17" i="22"/>
  <c r="F17" s="1"/>
  <c r="C8" i="26"/>
  <c r="I9"/>
  <c r="G10"/>
  <c r="E11"/>
  <c r="C12"/>
  <c r="E10" i="16"/>
  <c r="B8" i="26"/>
  <c r="H9"/>
  <c r="F10"/>
  <c r="D11"/>
  <c r="B12"/>
  <c r="S9" i="5"/>
  <c r="C30" i="1"/>
  <c r="Q7"/>
  <c r="Q12" i="15"/>
  <c r="R12" s="1"/>
  <c r="Q14"/>
  <c r="R14" s="1"/>
  <c r="D10" i="16"/>
  <c r="I8" i="26"/>
  <c r="G9"/>
  <c r="E10"/>
  <c r="C11"/>
  <c r="I12"/>
  <c r="H8"/>
  <c r="F9"/>
  <c r="D10"/>
  <c r="B11"/>
  <c r="H12"/>
  <c r="G8"/>
  <c r="E9"/>
  <c r="C10"/>
  <c r="I11"/>
  <c r="G12"/>
  <c r="E9" i="16"/>
  <c r="H6" i="23"/>
  <c r="A4" i="26"/>
  <c r="P4" s="1"/>
  <c r="F8"/>
  <c r="D9"/>
  <c r="B10"/>
  <c r="H11"/>
  <c r="F12"/>
  <c r="R11" i="11"/>
  <c r="D11" i="15"/>
  <c r="E11" s="1"/>
  <c r="Q11"/>
  <c r="R11" s="1"/>
  <c r="Q13"/>
  <c r="R13" s="1"/>
  <c r="Q15"/>
  <c r="R15" s="1"/>
  <c r="E8" i="26"/>
  <c r="C9"/>
  <c r="I10"/>
  <c r="G11"/>
  <c r="E12"/>
  <c r="S8" i="5"/>
  <c r="M5" i="6"/>
  <c r="A4" i="22"/>
  <c r="D8" i="26"/>
  <c r="B9"/>
  <c r="H10"/>
  <c r="F11"/>
  <c r="N6" i="6" l="1"/>
  <c r="P6" s="1"/>
  <c r="O6"/>
  <c r="N8"/>
  <c r="P8" s="1"/>
  <c r="O8"/>
  <c r="N7"/>
  <c r="P7" s="1"/>
  <c r="O7"/>
  <c r="T4" i="5"/>
  <c r="V4" s="1"/>
  <c r="K11" i="26"/>
  <c r="K4"/>
  <c r="H19" i="24"/>
  <c r="H17" i="25"/>
  <c r="H25" i="24"/>
  <c r="G4" i="4"/>
  <c r="H18" i="25"/>
  <c r="H27" i="24"/>
  <c r="H5"/>
  <c r="J8" i="4"/>
  <c r="A4"/>
  <c r="K5" i="10"/>
  <c r="K7"/>
  <c r="H7"/>
  <c r="H12" i="24"/>
  <c r="H14" s="1"/>
  <c r="K4" i="10"/>
  <c r="H6"/>
  <c r="I4" i="18"/>
  <c r="E4"/>
  <c r="A4"/>
  <c r="H15" i="23"/>
  <c r="H24" s="1"/>
  <c r="H29" s="1"/>
  <c r="S15" i="1" s="1"/>
  <c r="J14" i="15"/>
  <c r="M14" s="1"/>
  <c r="J11"/>
  <c r="M11" s="1"/>
  <c r="K13" i="26"/>
  <c r="J13"/>
  <c r="K14"/>
  <c r="J14"/>
  <c r="K17"/>
  <c r="J17"/>
  <c r="K16"/>
  <c r="J16"/>
  <c r="K15"/>
  <c r="J15"/>
  <c r="K18"/>
  <c r="J18"/>
  <c r="J13" i="15"/>
  <c r="M13" s="1"/>
  <c r="P13" s="1"/>
  <c r="J22"/>
  <c r="J12"/>
  <c r="M12" s="1"/>
  <c r="P12" s="1"/>
  <c r="J21"/>
  <c r="J18"/>
  <c r="M18" s="1"/>
  <c r="P18" s="1"/>
  <c r="J19"/>
  <c r="M19" s="1"/>
  <c r="P19" s="1"/>
  <c r="J17"/>
  <c r="M17" s="1"/>
  <c r="P17" s="1"/>
  <c r="J16"/>
  <c r="M16" s="1"/>
  <c r="P16" s="1"/>
  <c r="J15"/>
  <c r="M15" s="1"/>
  <c r="P15" s="1"/>
  <c r="J8" i="26"/>
  <c r="T13" i="5"/>
  <c r="V13"/>
  <c r="K20" i="15"/>
  <c r="N20"/>
  <c r="P20"/>
  <c r="T14" i="5"/>
  <c r="V14"/>
  <c r="T15"/>
  <c r="V15"/>
  <c r="R12"/>
  <c r="T16"/>
  <c r="V16"/>
  <c r="T17"/>
  <c r="V17"/>
  <c r="T10"/>
  <c r="V10"/>
  <c r="T18"/>
  <c r="V18"/>
  <c r="T11"/>
  <c r="V11"/>
  <c r="T12"/>
  <c r="V12"/>
  <c r="J10" i="26"/>
  <c r="J9"/>
  <c r="K12"/>
  <c r="O5" i="6"/>
  <c r="F9" i="16"/>
  <c r="C23" i="1"/>
  <c r="T9" i="5"/>
  <c r="V9"/>
  <c r="K9" i="16"/>
  <c r="I23" i="1" s="1"/>
  <c r="D23"/>
  <c r="D24"/>
  <c r="K10" i="16"/>
  <c r="I24" i="1" s="1"/>
  <c r="C24"/>
  <c r="F10" i="16"/>
  <c r="K10" i="26"/>
  <c r="N5" i="6"/>
  <c r="P5" s="1"/>
  <c r="K9" i="26"/>
  <c r="J12"/>
  <c r="T8" i="5"/>
  <c r="V8"/>
  <c r="K8" i="26"/>
  <c r="J11"/>
  <c r="A5" i="16" l="1"/>
  <c r="H31" i="23"/>
  <c r="H19" i="25"/>
  <c r="H23" s="1"/>
  <c r="H24" s="1"/>
  <c r="A15" i="1"/>
  <c r="G38"/>
  <c r="A38"/>
  <c r="H32" i="23"/>
  <c r="H26" i="24" s="1"/>
  <c r="H28" s="1"/>
  <c r="S19" i="1"/>
  <c r="H30" i="23"/>
  <c r="K14" i="15"/>
  <c r="N14"/>
  <c r="R11" i="5" s="1"/>
  <c r="N19" i="15"/>
  <c r="N11"/>
  <c r="K11"/>
  <c r="K19"/>
  <c r="K18"/>
  <c r="K16"/>
  <c r="K12"/>
  <c r="N16"/>
  <c r="N12"/>
  <c r="N13"/>
  <c r="K13"/>
  <c r="N18"/>
  <c r="K17"/>
  <c r="K22"/>
  <c r="N22"/>
  <c r="M22"/>
  <c r="P22" s="1"/>
  <c r="N17"/>
  <c r="K21"/>
  <c r="M21"/>
  <c r="P21" s="1"/>
  <c r="N21"/>
  <c r="K15"/>
  <c r="N15"/>
  <c r="R10" i="5"/>
  <c r="G10" i="16"/>
  <c r="F24" i="1" s="1"/>
  <c r="H10" i="16"/>
  <c r="G24" i="1" s="1"/>
  <c r="I10" i="16"/>
  <c r="J10"/>
  <c r="P14" i="15"/>
  <c r="N9" i="16"/>
  <c r="J23" i="1" s="1"/>
  <c r="E23"/>
  <c r="R9" i="5"/>
  <c r="N10" i="16"/>
  <c r="J24" i="1" s="1"/>
  <c r="E24"/>
  <c r="P11" i="15"/>
  <c r="G9" i="16"/>
  <c r="H9"/>
  <c r="I9"/>
  <c r="J9"/>
  <c r="R8" i="5"/>
  <c r="E5" i="16" l="1"/>
  <c r="I5"/>
  <c r="D4" i="4"/>
  <c r="J4" s="1"/>
  <c r="P19" i="11"/>
  <c r="P18"/>
  <c r="P17"/>
  <c r="I5" i="15"/>
  <c r="P12" i="11"/>
  <c r="H6" i="24"/>
  <c r="H8" s="1"/>
  <c r="H15" s="1"/>
  <c r="P14" i="11"/>
  <c r="G19" i="1"/>
  <c r="R5" i="15"/>
  <c r="M19" i="1"/>
  <c r="A19"/>
  <c r="R13" i="5"/>
  <c r="P11" i="11"/>
  <c r="E5" i="15"/>
  <c r="P15" i="11"/>
  <c r="P16"/>
  <c r="P13"/>
  <c r="M5" i="15"/>
  <c r="K23" i="1"/>
  <c r="K24"/>
  <c r="H24"/>
  <c r="M5" i="16"/>
  <c r="H23" i="1"/>
  <c r="F23"/>
  <c r="G23"/>
  <c r="O8" i="5" l="1"/>
  <c r="G5" i="9" l="1"/>
  <c r="H5"/>
  <c r="G4"/>
  <c r="H4"/>
  <c r="J5"/>
  <c r="J4"/>
  <c r="H20" i="24"/>
  <c r="H22"/>
  <c r="H29"/>
  <c r="H31"/>
</calcChain>
</file>

<file path=xl/sharedStrings.xml><?xml version="1.0" encoding="utf-8"?>
<sst xmlns="http://schemas.openxmlformats.org/spreadsheetml/2006/main" count="1360" uniqueCount="861">
  <si>
    <t>📊 PROPERTY &amp; CONSTRUCTION ERP — EXECUTIVE DASHBOARD</t>
  </si>
  <si>
    <t>Single Entry System | Marora Residency | Live as of 15 July 2026</t>
  </si>
  <si>
    <t>▶ 📖 How To Use</t>
  </si>
  <si>
    <t>▶ 🏘️ Flat Master</t>
  </si>
  <si>
    <t>▶ 💳 ENTER PAYMENT</t>
  </si>
  <si>
    <t>▶ 🧾 ENTER EXPENSE</t>
  </si>
  <si>
    <t>▶ 📦 ENTER PURCHASE</t>
  </si>
  <si>
    <t>▶ 📅 Installments</t>
  </si>
  <si>
    <t xml:space="preserve">  ▌   PROJECT STATUS</t>
  </si>
  <si>
    <t>Total Units</t>
  </si>
  <si>
    <t>✅ Sold</t>
  </si>
  <si>
    <t>🔵 Available</t>
  </si>
  <si>
    <t>🟡 Hold/Booked</t>
  </si>
  <si>
    <t>❌ Cancelled</t>
  </si>
  <si>
    <t>🏗️ Projects</t>
  </si>
  <si>
    <t xml:space="preserve">  ▌   FINANCIAL SNAPSHOT — All from single entries in Payments &amp; Expenses</t>
  </si>
  <si>
    <t>💰 Total Sales Value</t>
  </si>
  <si>
    <t>📥 Total Collected</t>
  </si>
  <si>
    <t>📤 Outstanding</t>
  </si>
  <si>
    <t>📊 Collection %</t>
  </si>
  <si>
    <t xml:space="preserve">  ▌   CASH &amp; BANK POSITION — Auto from single expense/payment entries</t>
  </si>
  <si>
    <t>🏦 Bank Balance</t>
  </si>
  <si>
    <t>💵 Cash Balance</t>
  </si>
  <si>
    <t>💸 Total Expenses</t>
  </si>
  <si>
    <t>📈 Net Profit</t>
  </si>
  <si>
    <t xml:space="preserve">  ▌   INSTALLMENT ALERTS — Auto from Installments sheet</t>
  </si>
  <si>
    <t>🔴 Overdue Inst.</t>
  </si>
  <si>
    <t>⏳ Pending Inst.</t>
  </si>
  <si>
    <t>💰 Overdue Amount</t>
  </si>
  <si>
    <t>📦 LOW STOCK Items</t>
  </si>
  <si>
    <t xml:space="preserve">  ▌   RECEIVABLES AGING — Auto from single payment entries</t>
  </si>
  <si>
    <t>Customer</t>
  </si>
  <si>
    <t>Flat</t>
  </si>
  <si>
    <t>Sale Value (PKR)</t>
  </si>
  <si>
    <t>Received (PKR)</t>
  </si>
  <si>
    <t>Outstanding (PKR)</t>
  </si>
  <si>
    <t>0-30 Days</t>
  </si>
  <si>
    <t>31-60 Days</t>
  </si>
  <si>
    <t>&gt;60 Days</t>
  </si>
  <si>
    <t>% Collected</t>
  </si>
  <si>
    <t>Priority</t>
  </si>
  <si>
    <t>Status</t>
  </si>
  <si>
    <t xml:space="preserve">  ▌   EXPENSE BREAKDOWN — Auto from single expense entries</t>
  </si>
  <si>
    <t>Category</t>
  </si>
  <si>
    <t>Amount (PKR)</t>
  </si>
  <si>
    <t>% of Total</t>
  </si>
  <si>
    <t>Material</t>
  </si>
  <si>
    <t>Labor</t>
  </si>
  <si>
    <t>Contractor</t>
  </si>
  <si>
    <t>Admin</t>
  </si>
  <si>
    <t>Marketing</t>
  </si>
  <si>
    <t>Other</t>
  </si>
  <si>
    <t>TOTAL EXPENSES</t>
  </si>
  <si>
    <t>100%</t>
  </si>
  <si>
    <t xml:space="preserve">  ▌   PARTNER &amp; CONSTRUCTION STATUS</t>
  </si>
  <si>
    <t>👥 Ahmed Profit Share</t>
  </si>
  <si>
    <t>👥 Taufeeq Profit Share</t>
  </si>
  <si>
    <t>🏗️ Construction %</t>
  </si>
  <si>
    <t>📤 Vendor Payables</t>
  </si>
  <si>
    <t>📖 HOW TO USE — TRUE SINGLE ENTRY SYSTEM</t>
  </si>
  <si>
    <t>One entry in ONE sheet updates ALL related sheets automatically</t>
  </si>
  <si>
    <t>WHAT IS SINGLE ENTRY?</t>
  </si>
  <si>
    <t>You enter data in ONE place only. All other sheets (Receivables, Bank Book, Cash Book, P&amp;L, Balance Sheet, Dashboard) automatically read from that single source using formulas. You NEVER enter the same data twice.</t>
  </si>
  <si>
    <t>THE 4 DATA ENTRY POINTS (Everything else is AUTO)</t>
  </si>
  <si>
    <t>1. 💳 PAYMENTS ← Enter Here   → Receipt No. auto-generates | Customer Name auto-fills | Flat ID auto-fills | Bank/Cash Book auto-updates | Receivables auto-updates | P&amp;L auto-updates | Dashboard auto-updates</t>
  </si>
  <si>
    <t>2. 🧾 EXPENSES ← Enter Here   → Voucher No. auto-generates | Bank/Cash auto-deducts | GL auto-posts | Trial Balance auto-updates | P&amp;L auto-updates | Balance Sheet auto-updates</t>
  </si>
  <si>
    <t>3. 📦 PURCHASES ← Enter Here  → Vendor Name auto-fills | Material Name auto-fills | Inventory auto-increases | Vendor Payable auto-increases | GL auto-posts</t>
  </si>
  <si>
    <t>4. 🏗️ Site Log                → Material consumption auto-reduces inventory | Contractor bill auto-updates payables</t>
  </si>
  <si>
    <t>MASTER DATA (Set up once, never re-enter)</t>
  </si>
  <si>
    <t>🏘️ Flat Master  → Add each flat once. Set Status=Sold and Customer ID to auto-generate the full installment schedule.</t>
  </si>
  <si>
    <t>👤 Customers    → Add each buyer once. Sale value, paid amount, outstanding all calculate automatically.</t>
  </si>
  <si>
    <t>🏪 Vendors      → Add each vendor once. Their payable balance auto-calculates from Purchase Orders.</t>
  </si>
  <si>
    <t>👷 Contractors  → Add once. Bill amounts and retention auto-calculate from Site Log entries.</t>
  </si>
  <si>
    <t>📦 Materials    → Add each material once. Stock auto-tracks based on purchases minus consumption.</t>
  </si>
  <si>
    <t>SHEETS THAT ARE 100% AUTOMATIC (DO NOT ENTER DATA HERE)</t>
  </si>
  <si>
    <t>📅 Installments AUTO    — Generated from Flat Master when Status=Sold. Updates when payments are received.</t>
  </si>
  <si>
    <t>📋 Receivables AUTO     — Reads from Payments. Shows outstanding per customer. 4-bucket aging.</t>
  </si>
  <si>
    <t>📤 Payables AUTO        — Reads from POs and Expenses. Shows vendor/contractor balances.</t>
  </si>
  <si>
    <t>📦 Inventory AUTO       — Reads from Purchases minus Site Log consumption. Auto LOW STOCK alert.</t>
  </si>
  <si>
    <t>🏦 Bank Book AUTO       — Reads from Payments (receipts) and Expenses (payments). Running balance.</t>
  </si>
  <si>
    <t>💵 Cash Book AUTO       — Same. Auto closing balance.</t>
  </si>
  <si>
    <t>📒 General Ledger AUTO  — Reads all transactions. Double-entry auto-generated.</t>
  </si>
  <si>
    <t>⚖️ Trial Balance AUTO   — Reads GL. Self-checks balance.</t>
  </si>
  <si>
    <t>📊 P&amp;L AUTO             — Reads Expenses by category and Flat Master for revenue.</t>
  </si>
  <si>
    <t>🏛️ Balance Sheet AUTO   — Reads all. Auto balance check.</t>
  </si>
  <si>
    <t>💧 Cash Flow AUTO       — Reads all transaction sheets.</t>
  </si>
  <si>
    <t>📈 Sales AUTO    — Reads Flat Master and Payments.</t>
  </si>
  <si>
    <t>STEP BY STEP — FIRST TIME SETUP</t>
  </si>
  <si>
    <t>Step 1: Fill 🏗️ Projects — enter your project name and budget</t>
  </si>
  <si>
    <t>Step 2: Fill 👥 Partners — enter partner names, capital, profit ratio</t>
  </si>
  <si>
    <t>Step 3: Fill 🏘️ Flat Master — enter all flats with price, area, floor</t>
  </si>
  <si>
    <t>Step 4: Fill 👤 Customers — enter buyer info. Set Flat ID to link.</t>
  </si>
  <si>
    <t>Step 5: In 🏘️ Flat Master, change Status to Sold and enter Customer ID → Installment schedule auto-appears in 📅 Installments AUTO</t>
  </si>
  <si>
    <t>Step 6: When customer pays → go to 💳 PAYMENTS ← Enter Here → enter ONE row → done. Everything else updates.</t>
  </si>
  <si>
    <t>Step 7: When you spend money → go to 🧾 EXPENSES ← Enter Here → enter ONE row → done.</t>
  </si>
  <si>
    <t>COLOR GUIDE</t>
  </si>
  <si>
    <t>🟢 Green tab = Data entry sheet (enter data here)</t>
  </si>
  <si>
    <t>🔵 Blue/Navy tab = Auto sheet (formulas only — do not type here)</t>
  </si>
  <si>
    <t>🔴 Red cell = Overdue / Alert / Error</t>
  </si>
  <si>
    <t>🟡 Yellow cell = Pending / Warning</t>
  </si>
  <si>
    <t>🔵 Blue text = Formula cell — never overwrite</t>
  </si>
  <si>
    <t>🏗️ PROJECT MASTER</t>
  </si>
  <si>
    <t>Budget | Timeline | Live Spend from Expenses</t>
  </si>
  <si>
    <t>Project ID</t>
  </si>
  <si>
    <t>Name</t>
  </si>
  <si>
    <t>Type</t>
  </si>
  <si>
    <t>Location</t>
  </si>
  <si>
    <t>Start</t>
  </si>
  <si>
    <t>Target End</t>
  </si>
  <si>
    <t>Budget (PKR)</t>
  </si>
  <si>
    <t>Actual Spend [AUTO]</t>
  </si>
  <si>
    <t>Variance [AUTO]</t>
  </si>
  <si>
    <t>% Spent [AUTO]</t>
  </si>
  <si>
    <t>Units [AUTO]</t>
  </si>
  <si>
    <t>Sold [AUTO]</t>
  </si>
  <si>
    <t>Revenue [AUTO]</t>
  </si>
  <si>
    <t>Manager</t>
  </si>
  <si>
    <t>PRJ-001</t>
  </si>
  <si>
    <t>Marora Residency</t>
  </si>
  <si>
    <t>Residential</t>
  </si>
  <si>
    <t>Marora Town</t>
  </si>
  <si>
    <t>Ahmed Malik</t>
  </si>
  <si>
    <t>Active</t>
  </si>
  <si>
    <t>👥 PARTNER MASTER — Capital | Profit Ratio | Auto Profit Share</t>
  </si>
  <si>
    <t>N</t>
  </si>
  <si>
    <t>Total Capital</t>
  </si>
  <si>
    <t>Net Profit</t>
  </si>
  <si>
    <t>Withdrawals</t>
  </si>
  <si>
    <t>Net Equity</t>
  </si>
  <si>
    <t>Partner ID</t>
  </si>
  <si>
    <t>CNIC</t>
  </si>
  <si>
    <t>Mobile</t>
  </si>
  <si>
    <t>Capital (PKR)</t>
  </si>
  <si>
    <t>Profit %</t>
  </si>
  <si>
    <t>Balance [AUTO]</t>
  </si>
  <si>
    <t>Bank</t>
  </si>
  <si>
    <t>Meezan Bank</t>
  </si>
  <si>
    <t>P-002</t>
  </si>
  <si>
    <t>42101-0000002-2</t>
  </si>
  <si>
    <t>03002222222</t>
  </si>
  <si>
    <t>HBL</t>
  </si>
  <si>
    <t>Sold</t>
  </si>
  <si>
    <t>Available</t>
  </si>
  <si>
    <t>Total Sale Value</t>
  </si>
  <si>
    <t>Total Collected</t>
  </si>
  <si>
    <t>Outstanding</t>
  </si>
  <si>
    <t xml:space="preserve">  ▌ UNIT REGISTER — Enter each flat once. Change Status to Sold when booking confirmed.</t>
  </si>
  <si>
    <t>Project ID
[ENTER]</t>
  </si>
  <si>
    <t>Area
sqft</t>
  </si>
  <si>
    <t>Status
[ENTER]</t>
  </si>
  <si>
    <t>Customer Name
[AUTO]</t>
  </si>
  <si>
    <t>Installments
[AUTO]</t>
  </si>
  <si>
    <t>Collected
[AUTO]</t>
  </si>
  <si>
    <t>Outstanding
[AUTO]</t>
  </si>
  <si>
    <t>Last Pay
[AUTO]</t>
  </si>
  <si>
    <t>% Collected
[AUTO]</t>
  </si>
  <si>
    <t>Notes</t>
  </si>
  <si>
    <t>F-101</t>
  </si>
  <si>
    <t>C-001</t>
  </si>
  <si>
    <t>Corner unit</t>
  </si>
  <si>
    <t>F-102</t>
  </si>
  <si>
    <t>C-002</t>
  </si>
  <si>
    <t>Quarterly-12</t>
  </si>
  <si>
    <t>F-104</t>
  </si>
  <si>
    <t>Hold</t>
  </si>
  <si>
    <t>F-201</t>
  </si>
  <si>
    <t xml:space="preserve">  ▌ CUSTOMER REGISTER — Enter once. Never re-enter payment data here.</t>
  </si>
  <si>
    <t>WhatsApp</t>
  </si>
  <si>
    <t>Address</t>
  </si>
  <si>
    <t>City</t>
  </si>
  <si>
    <t>Sale Value
[AUTO]</t>
  </si>
  <si>
    <t>Total Paid
[AUTO]</t>
  </si>
  <si>
    <t>% Paid
[AUTO]</t>
  </si>
  <si>
    <t>Status
[AUTO]</t>
  </si>
  <si>
    <t>Next Due Amt
[AUTO]</t>
  </si>
  <si>
    <t>Next Due Date
[AUTO]</t>
  </si>
  <si>
    <t>42101-1234567-1</t>
  </si>
  <si>
    <t>03001234567</t>
  </si>
  <si>
    <t>ali@email.com</t>
  </si>
  <si>
    <t>House 5 Block A North Nazimabad</t>
  </si>
  <si>
    <t>Karachi</t>
  </si>
  <si>
    <t>📋 PAYMENT PLAN TEMPLATES</t>
  </si>
  <si>
    <t>Define once. Select in Flat Master.</t>
  </si>
  <si>
    <t>Plan ID</t>
  </si>
  <si>
    <t>Plan Name</t>
  </si>
  <si>
    <t>Down %</t>
  </si>
  <si>
    <t>No. Inst.</t>
  </si>
  <si>
    <t>Frequency</t>
  </si>
  <si>
    <t>Possession %</t>
  </si>
  <si>
    <t>PLN-001</t>
  </si>
  <si>
    <t>Monthly</t>
  </si>
  <si>
    <t>PLN-002</t>
  </si>
  <si>
    <t>Quarterly</t>
  </si>
  <si>
    <t>25% down + 12 quarterly + 10% possession</t>
  </si>
  <si>
    <t>PLN-003</t>
  </si>
  <si>
    <t>Half-Yearly-6</t>
  </si>
  <si>
    <t>Half-Yearly</t>
  </si>
  <si>
    <t>30% down + 6 half-yearly + 10% possession</t>
  </si>
  <si>
    <t>PLN-004</t>
  </si>
  <si>
    <t>Milestone-5</t>
  </si>
  <si>
    <t>Construction</t>
  </si>
  <si>
    <t>Milestone</t>
  </si>
  <si>
    <t>20% booking + 5 milestones + 20% possession</t>
  </si>
  <si>
    <t>PLN-005</t>
  </si>
  <si>
    <t>Cash-Full</t>
  </si>
  <si>
    <t>Cash</t>
  </si>
  <si>
    <t>Lump Sum</t>
  </si>
  <si>
    <t>Full cash (discount applicable)</t>
  </si>
  <si>
    <t>🏪 VENDOR MASTER — Enter once. Payable auto-calculates from Purchases.</t>
  </si>
  <si>
    <t>Vendor ID</t>
  </si>
  <si>
    <t>Vendor Name</t>
  </si>
  <si>
    <t>Contact</t>
  </si>
  <si>
    <t>Phone</t>
  </si>
  <si>
    <t>Email</t>
  </si>
  <si>
    <t>NTN</t>
  </si>
  <si>
    <t>Credit Days</t>
  </si>
  <si>
    <t>Total POs [AUTO]</t>
  </si>
  <si>
    <t>Paid [AUTO]</t>
  </si>
  <si>
    <t>V-001</t>
  </si>
  <si>
    <t>Raheem Khan</t>
  </si>
  <si>
    <t>03111234567</t>
  </si>
  <si>
    <t>abc@cement.pk</t>
  </si>
  <si>
    <t>1234567-8</t>
  </si>
  <si>
    <t>V-002</t>
  </si>
  <si>
    <t>Saleem Baig</t>
  </si>
  <si>
    <t>03217654321</t>
  </si>
  <si>
    <t>steel@world.pk</t>
  </si>
  <si>
    <t>8765432-1</t>
  </si>
  <si>
    <t>V-003</t>
  </si>
  <si>
    <t>Asif Raza</t>
  </si>
  <si>
    <t>03001112222</t>
  </si>
  <si>
    <t>fast@log.pk</t>
  </si>
  <si>
    <t>5678901-2</t>
  </si>
  <si>
    <t>👷 CONTRACTOR MASTER — Bills auto from Site Log. Retention auto-deducted.</t>
  </si>
  <si>
    <t>Contractor ID</t>
  </si>
  <si>
    <t>Specialty</t>
  </si>
  <si>
    <t>Contract (PKR)</t>
  </si>
  <si>
    <t>Bills [AUTO]</t>
  </si>
  <si>
    <t>Retention [AUTO]</t>
  </si>
  <si>
    <t>Net Payable [AUTO]</t>
  </si>
  <si>
    <t>Ret. %</t>
  </si>
  <si>
    <t>CON-001</t>
  </si>
  <si>
    <t>Civil Works</t>
  </si>
  <si>
    <t>03009876543</t>
  </si>
  <si>
    <t>CON-002</t>
  </si>
  <si>
    <t>Electrical</t>
  </si>
  <si>
    <t>03334455667</t>
  </si>
  <si>
    <t>📦 MATERIAL MASTER — Stock auto from Purchases minus Site Log consumption</t>
  </si>
  <si>
    <t>Material ID</t>
  </si>
  <si>
    <t>Unit</t>
  </si>
  <si>
    <t>Unit Cost</t>
  </si>
  <si>
    <t>Reorder Lvl</t>
  </si>
  <si>
    <t>Stock [AUTO]</t>
  </si>
  <si>
    <t>Stock Value [AUTO]</t>
  </si>
  <si>
    <t>Purchased [AUTO]</t>
  </si>
  <si>
    <t>Consumed [AUTO]</t>
  </si>
  <si>
    <t>Status [AUTO]</t>
  </si>
  <si>
    <t>M-001</t>
  </si>
  <si>
    <t>OPC Cement 50kg</t>
  </si>
  <si>
    <t>Cement</t>
  </si>
  <si>
    <t>Bag</t>
  </si>
  <si>
    <t>M-002</t>
  </si>
  <si>
    <t>Steel Rebar 12mm</t>
  </si>
  <si>
    <t>Steel</t>
  </si>
  <si>
    <t>Tonne</t>
  </si>
  <si>
    <t>M-003</t>
  </si>
  <si>
    <t>Bricks Standard</t>
  </si>
  <si>
    <t>Masonry</t>
  </si>
  <si>
    <t>1000 pcs</t>
  </si>
  <si>
    <t>💳 PAYMENTS ← Enter Here  —  ONE ROW = Everything Updates Automatically</t>
  </si>
  <si>
    <t>⚡ ENTER ONE ROW HERE. You do NOT need to update Installments, Bank Book, Cash Book, Receivables, P&amp;L or Dashboard — they all read from this sheet automatically.</t>
  </si>
  <si>
    <t>Bank Receipts</t>
  </si>
  <si>
    <t>Cash Receipts</t>
  </si>
  <si>
    <t>This Month</t>
  </si>
  <si>
    <t xml:space="preserve">  ▌ DATA ENTRY ZONE — Enter ONE row per payment. All other sheets update automatically.</t>
  </si>
  <si>
    <t>Receipt No.
[AUTO]</t>
  </si>
  <si>
    <t>Serial
[ENTER 1,2,3]</t>
  </si>
  <si>
    <t>Date
[ENTER]</t>
  </si>
  <si>
    <t>Notes
[ENTER]</t>
  </si>
  <si>
    <t>Inst. No. Covered
[AUTO]</t>
  </si>
  <si>
    <t>Running Total
[AUTO]</t>
  </si>
  <si>
    <t>↓ Receipt No. auto-generates as R-001, R-002 etc. | Customer Name &amp; Flat ID auto-fill from Customer ID | Outstanding auto-calculates</t>
  </si>
  <si>
    <t>2026-06-01</t>
  </si>
  <si>
    <t>Bank Transfer</t>
  </si>
  <si>
    <t>TT-2001</t>
  </si>
  <si>
    <t>Ahmed M.</t>
  </si>
  <si>
    <t>Installment 1 payment</t>
  </si>
  <si>
    <t>2026-06-02</t>
  </si>
  <si>
    <t>🧾 EXPENSES ← Enter Here  —  ONE ROW = Bank/Cash/GL/P&amp;L/Balance Sheet ALL Update</t>
  </si>
  <si>
    <t>Voucher No auto | Bank/Cash auto-deducts | GL auto-posts | P&amp;L auto-updates | Dashboard auto-updates</t>
  </si>
  <si>
    <t>⚡ ENTER ONE ROW HERE. You do NOT need to update Bank Book, Cash Book, General Ledger, Trial Balance, P&amp;L or Balance Sheet — they all read from this sheet automatically.</t>
  </si>
  <si>
    <t>Total Expenses</t>
  </si>
  <si>
    <t>Admin &amp; Other</t>
  </si>
  <si>
    <t xml:space="preserve">  ▌ DATA ENTRY ZONE — Enter ONE row per expense. All other sheets update automatically.</t>
  </si>
  <si>
    <t>Voucher No.
[AUTO]</t>
  </si>
  <si>
    <t>Category
[ENTER]</t>
  </si>
  <si>
    <t>Sub-Category
[ENTER]</t>
  </si>
  <si>
    <t>Vendor/Payee
[ENTER]</t>
  </si>
  <si>
    <t>Paid From
[ENTER]</t>
  </si>
  <si>
    <t>Gross Amt
[ENTER]</t>
  </si>
  <si>
    <t>Net Amt
[ENTER=same if no tax]</t>
  </si>
  <si>
    <t>Tax
[ENTER]</t>
  </si>
  <si>
    <t>Cheque/TT
[ENTER]</t>
  </si>
  <si>
    <t>Approved By
[ENTER]</t>
  </si>
  <si>
    <t>↓ Voucher No. auto-generates as PV-001, PV-002 etc. | Paid From drives Bank or Cash deduction | Category drives P&amp;L categorisation</t>
  </si>
  <si>
    <t>2026-06-03</t>
  </si>
  <si>
    <t>CHQ-5001</t>
  </si>
  <si>
    <t>2026-06-05</t>
  </si>
  <si>
    <t>2026-06-10</t>
  </si>
  <si>
    <t>Property Owner</t>
  </si>
  <si>
    <t>📦 PURCHASES ← Enter Here  —  ONE ROW = Inventory Stock &amp; Vendor Payable Auto-Update</t>
  </si>
  <si>
    <t>Material Name auto | Vendor Name auto | Stock auto-increases | Payable auto-increases</t>
  </si>
  <si>
    <t>⚡ ENTER ONE ROW HERE. You do NOT need to update Inventory or Vendor Payables — they read from this sheet automatically.</t>
  </si>
  <si>
    <t xml:space="preserve">  ▌ DATA ENTRY ZONE</t>
  </si>
  <si>
    <t>PO No.
[AUTO]</t>
  </si>
  <si>
    <t>Serial
[ENTER]</t>
  </si>
  <si>
    <t>Vendor ID
[ENTER]</t>
  </si>
  <si>
    <t>Vendor Name
[AUTO]</t>
  </si>
  <si>
    <t>Material ID
[ENTER]</t>
  </si>
  <si>
    <t>Material Name
[AUTO]</t>
  </si>
  <si>
    <t>Unit
[AUTO]</t>
  </si>
  <si>
    <t>Qty
[ENTER]</t>
  </si>
  <si>
    <t>Unit Cost
[AUTO from Mat.]</t>
  </si>
  <si>
    <t>Total Cost
[AUTO]</t>
  </si>
  <si>
    <t>Paid
[ENTER]</t>
  </si>
  <si>
    <t>Balance
[AUTO]</t>
  </si>
  <si>
    <t>Delivery Date
[ENTER]</t>
  </si>
  <si>
    <t>Delivered</t>
  </si>
  <si>
    <t>2026-06-15</t>
  </si>
  <si>
    <t>Pending</t>
  </si>
  <si>
    <t>🏗️ SITE LOG — Contractor Bills &amp; Material Consumption</t>
  </si>
  <si>
    <t>Enter site activity. Inventory auto-reduces. Contractor payables auto-update.</t>
  </si>
  <si>
    <t>Log ID
[AUTO]</t>
  </si>
  <si>
    <t>Contractor ID
[ENTER]</t>
  </si>
  <si>
    <t>Activity
[ENTER]</t>
  </si>
  <si>
    <t>Material ID
[ENTER if used]</t>
  </si>
  <si>
    <t>Qty Used
[ENTER]</t>
  </si>
  <si>
    <t>Contractor Bill
(PKR) [ENTER]</t>
  </si>
  <si>
    <t>Progress %
[ENTER]</t>
  </si>
  <si>
    <t>Milestone
[ENTER]</t>
  </si>
  <si>
    <t>Foundation Work</t>
  </si>
  <si>
    <t>2026-05-01</t>
  </si>
  <si>
    <t>Foundation Complete</t>
  </si>
  <si>
    <t>📅 Installments AUTO — Generated from Flat Master | DO NOT ENTER DATA HERE</t>
  </si>
  <si>
    <t>Status | Overdue Days | Late Fee all auto-calculate using TODAY()</t>
  </si>
  <si>
    <t>🔒 THIS SHEET IS AUTO-GENERATED. When you set a Flat to Sold in Flat Master, installments appear here automatically. Payments entered in 💳 PAYMENTS mark installments Paid automatically.</t>
  </si>
  <si>
    <t>Total Inst.</t>
  </si>
  <si>
    <t>Paid</t>
  </si>
  <si>
    <t>Overdue</t>
  </si>
  <si>
    <t>Overdue Amount</t>
  </si>
  <si>
    <t xml:space="preserve">  ▌ INSTALLMENT SCHEDULE — Reads from Flat Master + Payments. All columns auto-calculate.</t>
  </si>
  <si>
    <t>Inst. ID
[AUTO]</t>
  </si>
  <si>
    <t>Serial
[AUTO]</t>
  </si>
  <si>
    <t>Flat ID
[AUTO]</t>
  </si>
  <si>
    <t>Customer ID
[AUTO]</t>
  </si>
  <si>
    <t>Inst. No.
[AUTO]</t>
  </si>
  <si>
    <t>Type
[AUTO]</t>
  </si>
  <si>
    <t>Due Date
[ENTER for each row]</t>
  </si>
  <si>
    <t>Inst. Amount
(PKR) [ENTER]</t>
  </si>
  <si>
    <t>Paid Amount
[AUTO from Payments]</t>
  </si>
  <si>
    <t>Pay Date
[AUTO]</t>
  </si>
  <si>
    <t>Days Overdue
[AUTO TODAY()]</t>
  </si>
  <si>
    <t>Late Fee
[AUTO]</t>
  </si>
  <si>
    <t>Cumul. Paid
[AUTO]</t>
  </si>
  <si>
    <t>% Done
[AUTO]</t>
  </si>
  <si>
    <t>↓ Flat ID, Customer ID, Name auto-fill from Flat Master. Paid Amount auto-reads from Payments sheet. Status, Days Overdue, Late Fee all auto-calculate.</t>
  </si>
  <si>
    <t>📋 Receivables AUTO — Reads from Payments | DO NOT ENTER DATA HERE</t>
  </si>
  <si>
    <t>4-bucket aging auto-calculated | Priority flags auto | All from single payment entry</t>
  </si>
  <si>
    <t>🔒 AUTO SHEET — All data reads from 💳 PAYMENTS sheet. No entry needed here.</t>
  </si>
  <si>
    <t>Collection %</t>
  </si>
  <si>
    <t xml:space="preserve">  ▌ RECEIVABLES AGING — Auto from Flat Master + Payments</t>
  </si>
  <si>
    <t>Flat ID</t>
  </si>
  <si>
    <t>Customer ID</t>
  </si>
  <si>
    <t>Customer Name</t>
  </si>
  <si>
    <t>Paid (PKR)</t>
  </si>
  <si>
    <t>0-30 Days (PKR)</t>
  </si>
  <si>
    <t>31-60 Days (PKR)</t>
  </si>
  <si>
    <t>61-90 Days (PKR)</t>
  </si>
  <si>
    <t>&gt;90 Days (PKR)</t>
  </si>
  <si>
    <t>Next Due Date</t>
  </si>
  <si>
    <t>Next Amt (PKR)</t>
  </si>
  <si>
    <t>📤 Payables AUTO — Reads from Purchases &amp; Expenses | DO NOT ENTER DATA</t>
  </si>
  <si>
    <t>R</t>
  </si>
  <si>
    <t>🔒 AUTO SHEET — Reads from 📦 PURCHASES and 🧾 EXPENSES. No entry needed.</t>
  </si>
  <si>
    <t xml:space="preserve">  ▌ VENDOR &amp; CONTRACTOR PAYABLES</t>
  </si>
  <si>
    <t>Party Type</t>
  </si>
  <si>
    <t>ID</t>
  </si>
  <si>
    <t>Total Invoiced (PKR)</t>
  </si>
  <si>
    <t>Total Paid (PKR)</t>
  </si>
  <si>
    <t>Balance (PKR)</t>
  </si>
  <si>
    <t>Last Purchase</t>
  </si>
  <si>
    <t>Vendor</t>
  </si>
  <si>
    <t>Retention 10% withheld</t>
  </si>
  <si>
    <t>📦 Inventory AUTO — Reads from Purchases - Site Log | DO NOT ENTER DATA</t>
  </si>
  <si>
    <t>P</t>
  </si>
  <si>
    <t>Inventory Value</t>
  </si>
  <si>
    <t>LOW STOCK</t>
  </si>
  <si>
    <t>OK</t>
  </si>
  <si>
    <t xml:space="preserve">  ▌ STOCK LEVELS [AUTO]</t>
  </si>
  <si>
    <t>Mat. ID</t>
  </si>
  <si>
    <t>Cost</t>
  </si>
  <si>
    <t>Reorder</t>
  </si>
  <si>
    <t>Value [AUTO]</t>
  </si>
  <si>
    <t>Purchased</t>
  </si>
  <si>
    <t>Consumed</t>
  </si>
  <si>
    <t>Last Buy</t>
  </si>
  <si>
    <t>🏦 Bank Book AUTO — Reads from Payments + Expenses | DO NOT ENTER DATA</t>
  </si>
  <si>
    <t>🔒 AUTO SHEET — Bank balance reads from 💳 PAYMENTS (receipts) and 🧾 EXPENSES (payments). Nothing to enter here.</t>
  </si>
  <si>
    <t xml:space="preserve">  ▌ BANK ACCOUNT BALANCES [AUTO]</t>
  </si>
  <si>
    <t>Account</t>
  </si>
  <si>
    <t>Opening Bal.</t>
  </si>
  <si>
    <t>Total Receipts [AUTO]</t>
  </si>
  <si>
    <t>Closing Balance [AUTO]</t>
  </si>
  <si>
    <t>Current</t>
  </si>
  <si>
    <t>TOTAL NET BANK BALANCE [AUTO]</t>
  </si>
  <si>
    <t xml:space="preserve">  ▌ TRANSACTION DETAIL — Auto from Payments + Expenses</t>
  </si>
  <si>
    <t>Date</t>
  </si>
  <si>
    <t>Description</t>
  </si>
  <si>
    <t>Source</t>
  </si>
  <si>
    <t>Receipt (PKR)</t>
  </si>
  <si>
    <t>Payment (PKR)</t>
  </si>
  <si>
    <t>Ref</t>
  </si>
  <si>
    <t>2026-01-15</t>
  </si>
  <si>
    <t>Partner Capital Ahmed — Meezan Bank</t>
  </si>
  <si>
    <t>👥 Partners</t>
  </si>
  <si>
    <t>PC-001</t>
  </si>
  <si>
    <t>Customer Payment Ali Khan — Bank Transfer</t>
  </si>
  <si>
    <t>💳 PAYMENTS</t>
  </si>
  <si>
    <t>R-001</t>
  </si>
  <si>
    <t>Cement Purchase — ABC Cement Co.</t>
  </si>
  <si>
    <t>🧾 EXPENSES</t>
  </si>
  <si>
    <t>PV-001</t>
  </si>
  <si>
    <t>💵 Cash Book AUTO — Reads from Payments + Expenses | DO NOT ENTER DATA</t>
  </si>
  <si>
    <t>I</t>
  </si>
  <si>
    <t>🔒 AUTO SHEET — Cash balance reads automatically from 💳 PAYMENTS (cash receipts) and 🧾 EXPENSES (cash payments).</t>
  </si>
  <si>
    <t>Opening Cash Balance</t>
  </si>
  <si>
    <t>Cash Receipts [AUTO]</t>
  </si>
  <si>
    <t>Cash Payments [AUTO]</t>
  </si>
  <si>
    <t>CLOSING CASH BALANCE [AUTO]</t>
  </si>
  <si>
    <t>📒 General Ledger AUTO — Double-Entry Auto-Generated | DO NOT ENTER DATA</t>
  </si>
  <si>
    <t>🔒 AUTO SHEET — Journal entries auto-generated from Payments and Expenses sheets.</t>
  </si>
  <si>
    <t>Total Debits</t>
  </si>
  <si>
    <t>Total Credits</t>
  </si>
  <si>
    <t>Balance Check</t>
  </si>
  <si>
    <t xml:space="preserve">  ▌ JOURNAL ENTRIES [AUTO]</t>
  </si>
  <si>
    <t>JV No.</t>
  </si>
  <si>
    <t>Acct Code</t>
  </si>
  <si>
    <t>Account Name</t>
  </si>
  <si>
    <t>Debit (PKR)</t>
  </si>
  <si>
    <t>Credit (PKR)</t>
  </si>
  <si>
    <t>Posted By</t>
  </si>
  <si>
    <t>JV-001</t>
  </si>
  <si>
    <t>1100</t>
  </si>
  <si>
    <t>Cash &amp; Bank</t>
  </si>
  <si>
    <t>Partner Capital Ahmed</t>
  </si>
  <si>
    <t>Partners</t>
  </si>
  <si>
    <t>JV-002</t>
  </si>
  <si>
    <t>3100</t>
  </si>
  <si>
    <t>Partner Capital</t>
  </si>
  <si>
    <t>Capital Ahmed</t>
  </si>
  <si>
    <t>JV-003</t>
  </si>
  <si>
    <t>Partner Capital Taufeeq</t>
  </si>
  <si>
    <t>PC-002</t>
  </si>
  <si>
    <t>JV-004</t>
  </si>
  <si>
    <t>Capital Taufeeq</t>
  </si>
  <si>
    <t>JV-005</t>
  </si>
  <si>
    <t>Customer Receipt Ali Khan</t>
  </si>
  <si>
    <t>JV-006</t>
  </si>
  <si>
    <t>1200</t>
  </si>
  <si>
    <t>Receivables</t>
  </si>
  <si>
    <t>Sale booked F-101</t>
  </si>
  <si>
    <t>JV-007</t>
  </si>
  <si>
    <t>Customer Receipt Sara Ahmed</t>
  </si>
  <si>
    <t>R-002</t>
  </si>
  <si>
    <t>JV-008</t>
  </si>
  <si>
    <t>Sale booked F-102</t>
  </si>
  <si>
    <t>JV-009</t>
  </si>
  <si>
    <t>5100</t>
  </si>
  <si>
    <t>Construction Expenses</t>
  </si>
  <si>
    <t>Cement Purchase</t>
  </si>
  <si>
    <t>JV-010</t>
  </si>
  <si>
    <t>Payment ABC Cement</t>
  </si>
  <si>
    <t>JV-011</t>
  </si>
  <si>
    <t>5200</t>
  </si>
  <si>
    <t>Labor Cost</t>
  </si>
  <si>
    <t>Site Wages W22</t>
  </si>
  <si>
    <t>PV-002</t>
  </si>
  <si>
    <t>JV-012</t>
  </si>
  <si>
    <t>Cash wages paid</t>
  </si>
  <si>
    <t>⚖️ Trial Balance AUTO — As at 15 July 2026 | DO NOT ENTER DATA</t>
  </si>
  <si>
    <t>L</t>
  </si>
  <si>
    <t>Net (PKR)</t>
  </si>
  <si>
    <t>Asset</t>
  </si>
  <si>
    <t>1300</t>
  </si>
  <si>
    <t>Inventory</t>
  </si>
  <si>
    <t>0</t>
  </si>
  <si>
    <t>2100</t>
  </si>
  <si>
    <t>Trade Payables</t>
  </si>
  <si>
    <t>Liability</t>
  </si>
  <si>
    <t>Equity</t>
  </si>
  <si>
    <t>Construction Cost</t>
  </si>
  <si>
    <t>Expense</t>
  </si>
  <si>
    <t>5300</t>
  </si>
  <si>
    <t>5400</t>
  </si>
  <si>
    <t>5500</t>
  </si>
  <si>
    <t>Salaries</t>
  </si>
  <si>
    <t>TOTAL</t>
  </si>
  <si>
    <t>📊 P&amp;L AUTO — Period Ending 15 July 2026 | DO NOT ENTER DATA</t>
  </si>
  <si>
    <t xml:space="preserve">  REVENUE</t>
  </si>
  <si>
    <t xml:space="preserve">    Flat Sales</t>
  </si>
  <si>
    <t xml:space="preserve">    Other Income</t>
  </si>
  <si>
    <t>TOTAL REVENUE</t>
  </si>
  <si>
    <t xml:space="preserve">  COST OF CONSTRUCTION</t>
  </si>
  <si>
    <t xml:space="preserve">    Material</t>
  </si>
  <si>
    <t xml:space="preserve">    Labor</t>
  </si>
  <si>
    <t xml:space="preserve">    Contractor</t>
  </si>
  <si>
    <t xml:space="preserve">    Equipment</t>
  </si>
  <si>
    <t xml:space="preserve">    Utilities</t>
  </si>
  <si>
    <t>TOTAL CONSTRUCTION COST</t>
  </si>
  <si>
    <t>GROSS PROFIT</t>
  </si>
  <si>
    <t xml:space="preserve">  OPERATING EXPENSES</t>
  </si>
  <si>
    <t xml:space="preserve">    Salaries</t>
  </si>
  <si>
    <t xml:space="preserve">    Admin</t>
  </si>
  <si>
    <t xml:space="preserve">    Marketing</t>
  </si>
  <si>
    <t xml:space="preserve">    Legal &amp; Professional</t>
  </si>
  <si>
    <t xml:space="preserve">    Other</t>
  </si>
  <si>
    <t>TOTAL OPERATING EXPENSES</t>
  </si>
  <si>
    <t>OPERATING PROFIT</t>
  </si>
  <si>
    <t xml:space="preserve">  FINAL</t>
  </si>
  <si>
    <t xml:space="preserve">    Tax Provision</t>
  </si>
  <si>
    <t xml:space="preserve">    Adjustments</t>
  </si>
  <si>
    <t>NET PROFIT / (LOSS)</t>
  </si>
  <si>
    <t xml:space="preserve">    Ahmed Malik 50%</t>
  </si>
  <si>
    <t xml:space="preserve">    Taufeeq Baig 50%</t>
  </si>
  <si>
    <t>NET PROFIT (for partner calc)</t>
  </si>
  <si>
    <t>🏛️ Balance Sheet AUTO — As at 15 July 2026 | DO NOT ENTER DATA</t>
  </si>
  <si>
    <t xml:space="preserve">  ASSETS</t>
  </si>
  <si>
    <t xml:space="preserve">  Current Assets</t>
  </si>
  <si>
    <t xml:space="preserve">    Cash &amp; Bank</t>
  </si>
  <si>
    <t xml:space="preserve">    Receivables</t>
  </si>
  <si>
    <t xml:space="preserve">    Other Current</t>
  </si>
  <si>
    <t>TOTAL CURRENT ASSETS</t>
  </si>
  <si>
    <t xml:space="preserve">  Non-Current Assets</t>
  </si>
  <si>
    <t xml:space="preserve">    WIP Construction</t>
  </si>
  <si>
    <t xml:space="preserve">    Inventory at Site</t>
  </si>
  <si>
    <t xml:space="preserve">    Fixed Assets</t>
  </si>
  <si>
    <t>TOTAL NON-CURRENT ASSETS</t>
  </si>
  <si>
    <t>TOTAL ASSETS</t>
  </si>
  <si>
    <t xml:space="preserve">  LIABILITIES</t>
  </si>
  <si>
    <t xml:space="preserve">  Current Liabilities</t>
  </si>
  <si>
    <t xml:space="preserve">    Vendor Payables</t>
  </si>
  <si>
    <t xml:space="preserve">    Contractor Payables</t>
  </si>
  <si>
    <t xml:space="preserve">    Other Liabilities</t>
  </si>
  <si>
    <t>TOTAL LIABILITIES</t>
  </si>
  <si>
    <t xml:space="preserve">  EQUITY</t>
  </si>
  <si>
    <t xml:space="preserve">    Partner Capital</t>
  </si>
  <si>
    <t xml:space="preserve">    Net Profit</t>
  </si>
  <si>
    <t xml:space="preserve">    Less: Withdrawals</t>
  </si>
  <si>
    <t>TOTAL EQUITY</t>
  </si>
  <si>
    <t>TOTAL LIABILITIES + EQUITY</t>
  </si>
  <si>
    <t>BALANCE CHECK</t>
  </si>
  <si>
    <t>💧 Cash Flow AUTO — Period Ending 15 July 2026 | DO NOT ENTER DATA</t>
  </si>
  <si>
    <t xml:space="preserve">  OPERATING ACTIVITIES</t>
  </si>
  <si>
    <t xml:space="preserve">    Collections from Customers</t>
  </si>
  <si>
    <t xml:space="preserve">    Admin &amp; Overhead</t>
  </si>
  <si>
    <t xml:space="preserve">    Other Expenses</t>
  </si>
  <si>
    <t>NET OPERATING CASH FLOW</t>
  </si>
  <si>
    <t xml:space="preserve">  INVESTING ACTIVITIES</t>
  </si>
  <si>
    <t xml:space="preserve">    Fixed Asset Purchases</t>
  </si>
  <si>
    <t xml:space="preserve">    Asset Sales</t>
  </si>
  <si>
    <t>NET INVESTING CASH FLOW</t>
  </si>
  <si>
    <t xml:space="preserve">  FINANCING ACTIVITIES</t>
  </si>
  <si>
    <t xml:space="preserve">    Partner Withdrawals</t>
  </si>
  <si>
    <t>NET FINANCING CASH FLOW</t>
  </si>
  <si>
    <t xml:space="preserve">  SUMMARY</t>
  </si>
  <si>
    <t xml:space="preserve">    Opening Balance</t>
  </si>
  <si>
    <t xml:space="preserve">    Net Cash Flow</t>
  </si>
  <si>
    <t>CLOSING CASH BALANCE</t>
  </si>
  <si>
    <t>📈 Sales AUTO — Reads from Flat Master + Payments | DO NOT ENTER DATA</t>
  </si>
  <si>
    <t>T</t>
  </si>
  <si>
    <t>Total Sales</t>
  </si>
  <si>
    <t>Collected</t>
  </si>
  <si>
    <t xml:space="preserve">  ▌ FLAT-WISE SALES DETAIL</t>
  </si>
  <si>
    <t>Tower</t>
  </si>
  <si>
    <t>Floor</t>
  </si>
  <si>
    <t>Area sqft</t>
  </si>
  <si>
    <t>Sale Price (PKR)</t>
  </si>
  <si>
    <t>Booking Date</t>
  </si>
  <si>
    <t>% Paid</t>
  </si>
  <si>
    <t>🔍 Audit Trail — Log all changes manually here for compliance</t>
  </si>
  <si>
    <t>Entry ID</t>
  </si>
  <si>
    <t>Timestamp</t>
  </si>
  <si>
    <t>User</t>
  </si>
  <si>
    <t>Sheet</t>
  </si>
  <si>
    <t>Record ID</t>
  </si>
  <si>
    <t>Action</t>
  </si>
  <si>
    <t>Field</t>
  </si>
  <si>
    <t>Old Value</t>
  </si>
  <si>
    <t>New Value</t>
  </si>
  <si>
    <t>IP</t>
  </si>
  <si>
    <t>AT-001</t>
  </si>
  <si>
    <t>2026-06-01 09:00</t>
  </si>
  <si>
    <t>admin</t>
  </si>
  <si>
    <t>INSERT</t>
  </si>
  <si>
    <t>Amount</t>
  </si>
  <si>
    <t>–</t>
  </si>
  <si>
    <t>500,000</t>
  </si>
  <si>
    <t>192.168.1.10</t>
  </si>
  <si>
    <t>Payment entered</t>
  </si>
  <si>
    <t>AT-002</t>
  </si>
  <si>
    <t>2026-06-02 10:15</t>
  </si>
  <si>
    <t>1,000,000</t>
  </si>
  <si>
    <t>AT-003</t>
  </si>
  <si>
    <t>2026-06-03 11:00</t>
  </si>
  <si>
    <t>250,000</t>
  </si>
  <si>
    <t>Expense entered</t>
  </si>
  <si>
    <t>AT-004</t>
  </si>
  <si>
    <t>2026-06-05 09:30</t>
  </si>
  <si>
    <t>100,000</t>
  </si>
  <si>
    <t>AT-005</t>
  </si>
  <si>
    <t>2026-06-05 12:00</t>
  </si>
  <si>
    <t>🏘️ Flat Master</t>
  </si>
  <si>
    <t>UPDATE</t>
  </si>
  <si>
    <t>Reserved VIP</t>
  </si>
  <si>
    <t xml:space="preserve">  PARTNER REGISTER</t>
  </si>
  <si>
    <t>Partner Name</t>
  </si>
  <si>
    <t>Father/Guardian</t>
  </si>
  <si>
    <t>Profit Share (PKR)</t>
  </si>
  <si>
    <t>Withdrawals (PKR)</t>
  </si>
  <si>
    <t>Bank Account</t>
  </si>
  <si>
    <t>Join Date</t>
  </si>
  <si>
    <t xml:space="preserve">Taufeeq Ahmed </t>
  </si>
  <si>
    <t>Lead Partner</t>
  </si>
  <si>
    <t xml:space="preserve">sharjeel ahmed </t>
  </si>
  <si>
    <t>0987-6543210</t>
  </si>
  <si>
    <t>Active Partner</t>
  </si>
  <si>
    <t>P-003</t>
  </si>
  <si>
    <t xml:space="preserve">Faraz Gulzar </t>
  </si>
  <si>
    <t>Gulzar Soomro</t>
  </si>
  <si>
    <t xml:space="preserve">Meezan bank </t>
  </si>
  <si>
    <t xml:space="preserve">  CONTRIBUTION LOG</t>
  </si>
  <si>
    <t>Txn ID</t>
  </si>
  <si>
    <t>Ref No.</t>
  </si>
  <si>
    <t>Approved By</t>
  </si>
  <si>
    <t>Capital Injection</t>
  </si>
  <si>
    <t>Initial capital</t>
  </si>
  <si>
    <t>CHQ-002</t>
  </si>
  <si>
    <t xml:space="preserve">Meezan </t>
  </si>
  <si>
    <t>CHQ-003</t>
  </si>
  <si>
    <t>F-01</t>
  </si>
  <si>
    <t>F-02</t>
  </si>
  <si>
    <t>F-202</t>
  </si>
  <si>
    <t>F-301</t>
  </si>
  <si>
    <t>F-302</t>
  </si>
  <si>
    <t>F-401</t>
  </si>
  <si>
    <t>F-402</t>
  </si>
  <si>
    <t>F-500</t>
  </si>
  <si>
    <t>Zulfiqar Ali Sapro</t>
  </si>
  <si>
    <t>Sapro Sb</t>
  </si>
  <si>
    <t>Monthly-18</t>
  </si>
  <si>
    <t>20% down + 18 monthly + 10% possession</t>
  </si>
  <si>
    <t xml:space="preserve">Vip reserve </t>
  </si>
  <si>
    <t xml:space="preserve">Advance </t>
  </si>
  <si>
    <t>Receipt No.</t>
  </si>
  <si>
    <t>Installment Ref.</t>
  </si>
  <si>
    <t>Yes</t>
  </si>
  <si>
    <t xml:space="preserve">Verified </t>
  </si>
  <si>
    <t>R-10</t>
  </si>
  <si>
    <t>15-04-2026</t>
  </si>
  <si>
    <t>Sharjeel</t>
  </si>
  <si>
    <t xml:space="preserve">Installment 1 payment, same recp </t>
  </si>
  <si>
    <t>M-004</t>
  </si>
  <si>
    <t xml:space="preserve">SRC Cement </t>
  </si>
  <si>
    <t xml:space="preserve">Mansoor Ali </t>
  </si>
  <si>
    <t xml:space="preserve">Saeed khan </t>
  </si>
  <si>
    <t xml:space="preserve">Gul Zaib khan </t>
  </si>
  <si>
    <t xml:space="preserve">cement and Blocks </t>
  </si>
  <si>
    <t xml:space="preserve">Steel </t>
  </si>
  <si>
    <t xml:space="preserve">Hardware </t>
  </si>
  <si>
    <t>V-004</t>
  </si>
  <si>
    <t xml:space="preserve">Dawood Jan </t>
  </si>
  <si>
    <t>Raay / Bajri</t>
  </si>
  <si>
    <t xml:space="preserve">Muhammad Arif </t>
  </si>
  <si>
    <t xml:space="preserve">Afzal </t>
  </si>
  <si>
    <t>Sharjeel Ahmed</t>
  </si>
  <si>
    <t xml:space="preserve">Al Gulzar Heights profit </t>
  </si>
  <si>
    <t xml:space="preserve">Source </t>
  </si>
  <si>
    <t xml:space="preserve">Asset </t>
  </si>
  <si>
    <t xml:space="preserve">Plot Purchase </t>
  </si>
  <si>
    <t>Commission</t>
  </si>
  <si>
    <t>commission</t>
  </si>
  <si>
    <t>cash</t>
  </si>
  <si>
    <t>sharjeel</t>
  </si>
  <si>
    <t>JV-013</t>
  </si>
  <si>
    <t>Flat/Shop No</t>
  </si>
  <si>
    <t>Project Name</t>
  </si>
  <si>
    <t>Block</t>
  </si>
  <si>
    <t>Total Price [AUTO]</t>
  </si>
  <si>
    <t>Extra Charges</t>
  </si>
  <si>
    <t>Discount</t>
  </si>
  <si>
    <t>Net Price [AUTO]</t>
  </si>
  <si>
    <t>Completion Date</t>
  </si>
  <si>
    <t>Possession Date</t>
  </si>
  <si>
    <t>A</t>
  </si>
  <si>
    <t>31-Dec-2025</t>
  </si>
  <si>
    <t>B</t>
  </si>
  <si>
    <t>Booked</t>
  </si>
  <si>
    <t>Flat No.</t>
  </si>
  <si>
    <t>Price/sqft</t>
  </si>
  <si>
    <t xml:space="preserve">Floor
</t>
  </si>
  <si>
    <t xml:space="preserve">Ground </t>
  </si>
  <si>
    <t xml:space="preserve">1st </t>
  </si>
  <si>
    <t xml:space="preserve">2nd </t>
  </si>
  <si>
    <t xml:space="preserve">3rd </t>
  </si>
  <si>
    <t>4th</t>
  </si>
  <si>
    <t>5th</t>
  </si>
  <si>
    <t>Inst. Paid</t>
  </si>
  <si>
    <t>Pay Plan</t>
  </si>
  <si>
    <t>Possesion Given</t>
  </si>
  <si>
    <t xml:space="preserve">Cancelled </t>
  </si>
  <si>
    <t>Total Price [AUTO}</t>
  </si>
  <si>
    <t>Customer Name [AUTO]</t>
  </si>
  <si>
    <t>🏘️ FLAT REGISTER — Master Inventory</t>
  </si>
  <si>
    <t>Enter each flat ONCE. All other sheets read from here.</t>
  </si>
  <si>
    <t>👤 CUSTOMER DATABASE — All Buyers</t>
  </si>
  <si>
    <t>Enter each customer ONCE. All sheets reference Customer ID.</t>
  </si>
  <si>
    <t>Registration No</t>
  </si>
  <si>
    <t>Cell No</t>
  </si>
  <si>
    <t>Flat No</t>
  </si>
  <si>
    <t>AB-Sachal-GH/2024/1/2024</t>
  </si>
  <si>
    <t>AB-Sachal-GH/2024/2/2024</t>
  </si>
  <si>
    <t>Father/Husband</t>
  </si>
  <si>
    <t>ONE ROW = Receipt auto-numbers | Customer Name auto | Balance auto | Everything auto-updates</t>
  </si>
  <si>
    <t>Payment Type
[ENTER]</t>
  </si>
  <si>
    <t>28-Oct-2025</t>
  </si>
  <si>
    <t>Membership Fee</t>
  </si>
  <si>
    <t>Online</t>
  </si>
  <si>
    <t>21-Dec-2025</t>
  </si>
  <si>
    <t>Confirmation</t>
  </si>
  <si>
    <t>Allocation</t>
  </si>
  <si>
    <t>27-Feb-2026</t>
  </si>
  <si>
    <t>Installment</t>
  </si>
  <si>
    <t>25-May-2025</t>
  </si>
  <si>
    <t>Cheque/TT No.</t>
  </si>
  <si>
    <t>Received By</t>
  </si>
  <si>
    <t>Payment Mode</t>
  </si>
  <si>
    <t>Bank/Account</t>
  </si>
  <si>
    <t>📒 PAYMENT REGISTER — Auto from Payment Entry</t>
  </si>
  <si>
    <t>All data reads from 💳 Payment Entry. No manual entry here.</t>
  </si>
  <si>
    <t>🔒 AUTO SHEET — Reads 💳 Payment Entry. Filter by Flat No or Customer to see ledger.</t>
  </si>
  <si>
    <t>Total Receipts</t>
  </si>
  <si>
    <t>Distinct Flats</t>
  </si>
  <si>
    <t>Online/Bank</t>
  </si>
  <si>
    <t xml:space="preserve">  ▌ PAYMENT LEDGER (mirrors Payment Entry)</t>
  </si>
  <si>
    <t>Receipt No</t>
  </si>
  <si>
    <t>Payment Type</t>
  </si>
  <si>
    <t>Mode</t>
  </si>
  <si>
    <t>Cheque/TT</t>
  </si>
  <si>
    <t>📋 BOOKING REGISTER — One Entry Per Flat</t>
  </si>
  <si>
    <t>Enter booking once. Payment schedule auto-generates from plan template.</t>
  </si>
  <si>
    <t xml:space="preserve">  ▌ BOOKING LOG</t>
  </si>
  <si>
    <t>Booking ID</t>
  </si>
  <si>
    <t>Project [AUTO]</t>
  </si>
  <si>
    <t>Block [AUTO]</t>
  </si>
  <si>
    <t>Floor [AUTO]</t>
  </si>
  <si>
    <t>Size sqft [AUTO]</t>
  </si>
  <si>
    <t>Payment Plan</t>
  </si>
  <si>
    <t>Down Payment</t>
  </si>
  <si>
    <t>No. of Inst.</t>
  </si>
  <si>
    <t>Inst. Amount [AUTO]</t>
  </si>
  <si>
    <t>Inst. Freq.</t>
  </si>
  <si>
    <t>Booking Status</t>
  </si>
  <si>
    <t>Monthly-11</t>
  </si>
  <si>
    <t>500000</t>
  </si>
  <si>
    <t xml:space="preserve">Sharjeel </t>
  </si>
  <si>
    <t>soomro</t>
  </si>
  <si>
    <t>15-05-2026</t>
  </si>
  <si>
    <t>C-003</t>
  </si>
  <si>
    <t>C-004</t>
  </si>
  <si>
    <t xml:space="preserve">hello </t>
  </si>
  <si>
    <t>aiman</t>
  </si>
  <si>
    <t>Type Flat No in cell B4 (yellow). Full statement auto-generates instantly.</t>
  </si>
  <si>
    <t>Enter Flat No →</t>
  </si>
  <si>
    <t>Flat No:</t>
  </si>
  <si>
    <t>Account Statement</t>
  </si>
  <si>
    <t>Personal Information:</t>
  </si>
  <si>
    <t>Registration No:</t>
  </si>
  <si>
    <t>Name:</t>
  </si>
  <si>
    <t>PTCL No.</t>
  </si>
  <si>
    <t>Father Name:</t>
  </si>
  <si>
    <t>Email:</t>
  </si>
  <si>
    <t>Cnic</t>
  </si>
  <si>
    <t>Flat/Shop Information:</t>
  </si>
  <si>
    <t>Start Date</t>
  </si>
  <si>
    <t>D-91, Block D. Sachal Goth</t>
  </si>
  <si>
    <t>Size</t>
  </si>
  <si>
    <t>Payment Summary:</t>
  </si>
  <si>
    <t>Total Amt</t>
  </si>
  <si>
    <t>Net Amt</t>
  </si>
  <si>
    <t>Rec Amt</t>
  </si>
  <si>
    <t>PDC Amt</t>
  </si>
  <si>
    <t>Waive Amt</t>
  </si>
  <si>
    <t>O/S Amt</t>
  </si>
  <si>
    <t>Over Due Amt</t>
  </si>
  <si>
    <t>Payment Types</t>
  </si>
  <si>
    <t>Inst #</t>
  </si>
  <si>
    <t>Due Date</t>
  </si>
  <si>
    <t>Due Amt</t>
  </si>
  <si>
    <t>O.S Amt</t>
  </si>
  <si>
    <t>Charges</t>
  </si>
  <si>
    <t>Paid On</t>
  </si>
  <si>
    <t>Cheque #</t>
  </si>
  <si>
    <t>Receipt #</t>
  </si>
  <si>
    <t>Receipt Amt</t>
  </si>
  <si>
    <t>Cost of form</t>
  </si>
  <si>
    <t xml:space="preserve">cash </t>
  </si>
  <si>
    <t>200,000</t>
  </si>
  <si>
    <t>2-Feb-2026</t>
  </si>
  <si>
    <t>Start of work</t>
  </si>
  <si>
    <t>1</t>
  </si>
  <si>
    <t>10-May-2025</t>
  </si>
  <si>
    <t>29-Apr-2026</t>
  </si>
  <si>
    <t>150,000</t>
  </si>
  <si>
    <t>2</t>
  </si>
  <si>
    <t>11-May-2025</t>
  </si>
  <si>
    <t>350,000</t>
  </si>
  <si>
    <t>3</t>
  </si>
  <si>
    <t>12-May-2025</t>
  </si>
  <si>
    <t>16-Jun-2026</t>
  </si>
  <si>
    <t>800,000</t>
  </si>
  <si>
    <t>4</t>
  </si>
  <si>
    <t>1-Jan-2026</t>
  </si>
  <si>
    <t>5</t>
  </si>
  <si>
    <t>2-Jan-2026</t>
  </si>
  <si>
    <t>6</t>
  </si>
  <si>
    <t>3-Mar-2026</t>
  </si>
  <si>
    <t>7</t>
  </si>
  <si>
    <t>4-Mar-2026</t>
  </si>
  <si>
    <t>8</t>
  </si>
  <si>
    <t>5-May-2026</t>
  </si>
  <si>
    <t>9</t>
  </si>
  <si>
    <t>6-May-2026</t>
  </si>
  <si>
    <t>10</t>
  </si>
  <si>
    <t>7-May-2026</t>
  </si>
  <si>
    <t>Possession</t>
  </si>
  <si>
    <t>11</t>
  </si>
  <si>
    <t>30-Jul-2026</t>
  </si>
  <si>
    <t>False ceiling</t>
  </si>
  <si>
    <t>Total</t>
  </si>
  <si>
    <t>3,300,000</t>
  </si>
  <si>
    <t>Print Date</t>
  </si>
  <si>
    <t>Panthouse</t>
  </si>
  <si>
    <t>31-12-2027</t>
  </si>
  <si>
    <t>15-06-2026</t>
  </si>
  <si>
    <t>15-01-2026</t>
  </si>
  <si>
    <t xml:space="preserve">Gohar Enclave Maroara </t>
  </si>
  <si>
    <t xml:space="preserve">📄 CUSTOMER ACCOUNT STATEMENT - EMAAN HOLDINGS </t>
  </si>
  <si>
    <t>Online Transfer</t>
  </si>
  <si>
    <t>CASH</t>
  </si>
  <si>
    <t>Total Expense</t>
  </si>
  <si>
    <t>TOTAL NET CASH BALANCE [AUTO]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</si>
</sst>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dd\-mmm\-yyyy"/>
    <numFmt numFmtId="166" formatCode="\P\K\R\ #,##0"/>
  </numFmts>
  <fonts count="5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i/>
      <sz val="9"/>
      <color rgb="FFFFFFFF"/>
      <name val="Calibri"/>
    </font>
    <font>
      <b/>
      <u/>
      <sz val="9"/>
      <color rgb="FFFFFFFF"/>
      <name val="Calibri"/>
    </font>
    <font>
      <b/>
      <u/>
      <sz val="9"/>
      <color rgb="FFFFFFFF"/>
      <name val="Calibri"/>
    </font>
    <font>
      <b/>
      <u/>
      <sz val="9"/>
      <color rgb="FFFFFFFF"/>
      <name val="Calibri"/>
    </font>
    <font>
      <b/>
      <u/>
      <sz val="9"/>
      <color rgb="FFFFFFFF"/>
      <name val="Calibri"/>
    </font>
    <font>
      <b/>
      <u/>
      <sz val="9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16"/>
      <color rgb="FF0D1B2A"/>
      <name val="Calibri"/>
    </font>
    <font>
      <b/>
      <sz val="15"/>
      <color rgb="FF0D1B2A"/>
      <name val="Calibri"/>
    </font>
    <font>
      <sz val="9"/>
      <color rgb="FF1565C0"/>
      <name val="Calibri"/>
    </font>
    <font>
      <sz val="9"/>
      <color rgb="FF000000"/>
      <name val="Calibri"/>
    </font>
    <font>
      <b/>
      <sz val="14"/>
      <color rgb="FF0D1B2A"/>
      <name val="Calibri"/>
    </font>
    <font>
      <sz val="9"/>
      <color rgb="FF0D1B2A"/>
      <name val="Calibri"/>
    </font>
    <font>
      <sz val="11"/>
      <color theme="1"/>
      <name val="Calibri"/>
      <scheme val="minor"/>
    </font>
    <font>
      <b/>
      <sz val="10"/>
      <color rgb="FF0D1B2A"/>
      <name val="Calibri"/>
    </font>
    <font>
      <i/>
      <sz val="9"/>
      <color rgb="FF546E7A"/>
      <name val="Calibri"/>
    </font>
    <font>
      <b/>
      <sz val="9"/>
      <color rgb="FF0D1B2A"/>
      <name val="Calibri"/>
    </font>
    <font>
      <b/>
      <sz val="11"/>
      <color rgb="FFFFFFFF"/>
      <name val="Calibri"/>
    </font>
    <font>
      <b/>
      <sz val="12"/>
      <color rgb="FF0D1B2A"/>
      <name val="Calibri"/>
    </font>
    <font>
      <b/>
      <sz val="12"/>
      <color rgb="FFFFFFFF"/>
      <name val="Calibri"/>
    </font>
    <font>
      <b/>
      <sz val="11"/>
      <color rgb="FF0D1B2A"/>
      <name val="Calibri"/>
    </font>
    <font>
      <sz val="10"/>
      <color rgb="FF000000"/>
      <name val="Calibri"/>
    </font>
    <font>
      <sz val="10"/>
      <color rgb="FF1565C0"/>
      <name val="Calibri"/>
    </font>
    <font>
      <b/>
      <sz val="12"/>
      <color rgb="FF000000"/>
      <name val="Calibri"/>
    </font>
    <font>
      <b/>
      <sz val="9"/>
      <color rgb="FFFFFFFF"/>
      <name val="Calibri"/>
      <family val="2"/>
    </font>
    <font>
      <sz val="9"/>
      <color rgb="FF1565C0"/>
      <name val="Calibri"/>
      <family val="2"/>
    </font>
    <font>
      <sz val="11"/>
      <color theme="0"/>
      <name val="Calibri"/>
      <family val="2"/>
      <scheme val="minor"/>
    </font>
    <font>
      <b/>
      <sz val="8"/>
      <color rgb="FFFFFFFF"/>
      <name val="Arial"/>
    </font>
    <font>
      <b/>
      <sz val="15"/>
      <color rgb="FF1B2A4A"/>
      <name val="Arial"/>
    </font>
    <font>
      <sz val="9"/>
      <color rgb="FF000000"/>
      <name val="Arial"/>
    </font>
    <font>
      <sz val="9"/>
      <color rgb="FF1F4E79"/>
      <name val="Arial"/>
    </font>
    <font>
      <b/>
      <sz val="16"/>
      <color rgb="FFFFFFFF"/>
      <name val="Arial"/>
      <family val="2"/>
    </font>
    <font>
      <i/>
      <sz val="9"/>
      <color rgb="FFFFFFFF"/>
      <name val="Calibri"/>
      <family val="2"/>
    </font>
    <font>
      <i/>
      <sz val="9"/>
      <color rgb="FFFFFFFF"/>
      <name val="Arial"/>
      <family val="2"/>
    </font>
    <font>
      <b/>
      <sz val="9"/>
      <color rgb="FF1B2A4A"/>
      <name val="Arial"/>
      <family val="2"/>
    </font>
    <font>
      <b/>
      <sz val="8"/>
      <color rgb="FFFFFFFF"/>
      <name val="Arial"/>
      <family val="2"/>
    </font>
    <font>
      <b/>
      <sz val="15"/>
      <color rgb="FF1B2A4A"/>
      <name val="Arial"/>
      <family val="2"/>
    </font>
    <font>
      <b/>
      <sz val="9"/>
      <color rgb="FFFFFFFF"/>
      <name val="Arial"/>
      <family val="2"/>
    </font>
    <font>
      <sz val="9"/>
      <color rgb="FF1F4E79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10"/>
      <color rgb="FF1B2A4A"/>
      <name val="Arial"/>
      <family val="2"/>
    </font>
    <font>
      <b/>
      <sz val="14"/>
      <color rgb="FF1B2A4A"/>
      <name val="Arial"/>
      <family val="2"/>
    </font>
    <font>
      <b/>
      <sz val="16"/>
      <color rgb="FF1B2A4A"/>
      <name val="Arial"/>
      <family val="2"/>
    </font>
    <font>
      <i/>
      <sz val="11"/>
      <color rgb="FF595959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0A7373"/>
        <bgColor rgb="FF0A7373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F5F7FA"/>
        <bgColor rgb="FFF5F7FA"/>
      </patternFill>
    </fill>
    <fill>
      <patternFill patternType="solid">
        <fgColor rgb="FFE8A838"/>
        <bgColor rgb="FFE8A838"/>
      </patternFill>
    </fill>
    <fill>
      <patternFill patternType="solid">
        <fgColor rgb="FF546E7A"/>
        <bgColor rgb="FF546E7A"/>
      </patternFill>
    </fill>
    <fill>
      <patternFill patternType="solid">
        <fgColor rgb="FF0A7373"/>
      </patternFill>
    </fill>
    <fill>
      <patternFill patternType="solid">
        <fgColor rgb="FF0D1B2A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1565C0"/>
      </patternFill>
    </fill>
    <fill>
      <patternFill patternType="solid">
        <fgColor rgb="FFF2F2F2"/>
      </patternFill>
    </fill>
    <fill>
      <patternFill patternType="solid">
        <fgColor rgb="FF1B2A4A"/>
      </patternFill>
    </fill>
    <fill>
      <patternFill patternType="solid">
        <fgColor rgb="FFDCE9F5"/>
      </patternFill>
    </fill>
    <fill>
      <patternFill patternType="solid">
        <fgColor rgb="FF375623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C9933A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F2E89C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E89C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2" tint="-4.9989318521683403E-2"/>
        <bgColor rgb="FFF0F4F8"/>
      </patternFill>
    </fill>
  </fills>
  <borders count="22">
    <border>
      <left/>
      <right/>
      <top/>
      <bottom/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  <border>
      <left style="thin">
        <color rgb="FFB0BEC5"/>
      </left>
      <right/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9933A"/>
      </left>
      <right style="thin">
        <color rgb="FFC9933A"/>
      </right>
      <top style="thin">
        <color rgb="FFC9933A"/>
      </top>
      <bottom style="thin">
        <color rgb="FFC9933A"/>
      </bottom>
      <diagonal/>
    </border>
    <border>
      <left style="thin">
        <color rgb="FF843C0C"/>
      </left>
      <right style="thin">
        <color rgb="FF843C0C"/>
      </right>
      <top style="thin">
        <color rgb="FF843C0C"/>
      </top>
      <bottom style="thin">
        <color rgb="FF843C0C"/>
      </bottom>
      <diagonal/>
    </border>
    <border>
      <left style="thin">
        <color rgb="FF0A7373"/>
      </left>
      <right style="thin">
        <color rgb="FF0A7373"/>
      </right>
      <top style="thin">
        <color rgb="FF0A7373"/>
      </top>
      <bottom style="thin">
        <color rgb="FF0A7373"/>
      </bottom>
      <diagonal/>
    </border>
    <border>
      <left style="thin">
        <color rgb="FF843C0C"/>
      </left>
      <right/>
      <top/>
      <bottom/>
      <diagonal/>
    </border>
    <border>
      <left/>
      <right style="thin">
        <color rgb="FF843C0C"/>
      </right>
      <top/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/>
      <right style="thin">
        <color rgb="FFB0BEC5"/>
      </right>
      <top/>
      <bottom/>
      <diagonal/>
    </border>
    <border>
      <left/>
      <right style="thin">
        <color rgb="FF0A7373"/>
      </right>
      <top/>
      <bottom/>
      <diagonal/>
    </border>
    <border>
      <left style="thin">
        <color rgb="FF375623"/>
      </left>
      <right/>
      <top style="thin">
        <color rgb="FFB0BEC5"/>
      </top>
      <bottom style="thin">
        <color rgb="FFB0BEC5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">
    <xf numFmtId="0" fontId="0" fillId="0" borderId="0"/>
    <xf numFmtId="0" fontId="1" fillId="0" borderId="0"/>
  </cellStyleXfs>
  <cellXfs count="263">
    <xf numFmtId="0" fontId="0" fillId="0" borderId="0" xfId="0" applyFont="1" applyAlignment="1"/>
    <xf numFmtId="0" fontId="10" fillId="2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left" vertical="center"/>
    </xf>
    <xf numFmtId="3" fontId="15" fillId="15" borderId="4" xfId="0" applyNumberFormat="1" applyFont="1" applyFill="1" applyBorder="1" applyAlignment="1">
      <alignment horizontal="left" vertical="center"/>
    </xf>
    <xf numFmtId="164" fontId="15" fillId="15" borderId="4" xfId="0" applyNumberFormat="1" applyFont="1" applyFill="1" applyBorder="1" applyAlignment="1">
      <alignment horizontal="left" vertical="center"/>
    </xf>
    <xf numFmtId="0" fontId="15" fillId="16" borderId="4" xfId="0" applyFont="1" applyFill="1" applyBorder="1" applyAlignment="1">
      <alignment horizontal="left" vertical="center"/>
    </xf>
    <xf numFmtId="3" fontId="15" fillId="16" borderId="4" xfId="0" applyNumberFormat="1" applyFont="1" applyFill="1" applyBorder="1" applyAlignment="1">
      <alignment horizontal="left" vertical="center"/>
    </xf>
    <xf numFmtId="164" fontId="15" fillId="16" borderId="4" xfId="0" applyNumberFormat="1" applyFont="1" applyFill="1" applyBorder="1" applyAlignment="1">
      <alignment horizontal="left" vertical="center"/>
    </xf>
    <xf numFmtId="0" fontId="16" fillId="15" borderId="4" xfId="0" applyFont="1" applyFill="1" applyBorder="1"/>
    <xf numFmtId="3" fontId="15" fillId="15" borderId="4" xfId="0" applyNumberFormat="1" applyFont="1" applyFill="1" applyBorder="1" applyAlignment="1">
      <alignment horizontal="right" vertical="center"/>
    </xf>
    <xf numFmtId="164" fontId="15" fillId="15" borderId="4" xfId="0" applyNumberFormat="1" applyFont="1" applyFill="1" applyBorder="1" applyAlignment="1">
      <alignment horizontal="center" vertical="center"/>
    </xf>
    <xf numFmtId="0" fontId="16" fillId="16" borderId="4" xfId="0" applyFont="1" applyFill="1" applyBorder="1"/>
    <xf numFmtId="3" fontId="15" fillId="16" borderId="4" xfId="0" applyNumberFormat="1" applyFont="1" applyFill="1" applyBorder="1" applyAlignment="1">
      <alignment horizontal="right" vertical="center"/>
    </xf>
    <xf numFmtId="164" fontId="15" fillId="16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left" vertical="center"/>
    </xf>
    <xf numFmtId="165" fontId="16" fillId="15" borderId="4" xfId="0" applyNumberFormat="1" applyFont="1" applyFill="1" applyBorder="1" applyAlignment="1">
      <alignment horizontal="left" vertical="center"/>
    </xf>
    <xf numFmtId="3" fontId="16" fillId="15" borderId="4" xfId="0" applyNumberFormat="1" applyFont="1" applyFill="1" applyBorder="1" applyAlignment="1">
      <alignment horizontal="left" vertical="center"/>
    </xf>
    <xf numFmtId="0" fontId="19" fillId="0" borderId="0" xfId="0" applyFont="1"/>
    <xf numFmtId="164" fontId="16" fillId="15" borderId="4" xfId="0" applyNumberFormat="1" applyFont="1" applyFill="1" applyBorder="1" applyAlignment="1">
      <alignment horizontal="left" vertical="center"/>
    </xf>
    <xf numFmtId="0" fontId="16" fillId="16" borderId="4" xfId="0" applyFont="1" applyFill="1" applyBorder="1" applyAlignment="1">
      <alignment horizontal="left" vertical="center"/>
    </xf>
    <xf numFmtId="3" fontId="16" fillId="16" borderId="4" xfId="0" applyNumberFormat="1" applyFont="1" applyFill="1" applyBorder="1" applyAlignment="1">
      <alignment horizontal="left" vertical="center"/>
    </xf>
    <xf numFmtId="164" fontId="16" fillId="16" borderId="4" xfId="0" applyNumberFormat="1" applyFont="1" applyFill="1" applyBorder="1" applyAlignment="1">
      <alignment horizontal="left" vertical="center"/>
    </xf>
    <xf numFmtId="165" fontId="15" fillId="15" borderId="4" xfId="0" applyNumberFormat="1" applyFont="1" applyFill="1" applyBorder="1" applyAlignment="1">
      <alignment horizontal="left" vertical="center"/>
    </xf>
    <xf numFmtId="165" fontId="16" fillId="16" borderId="4" xfId="0" applyNumberFormat="1" applyFont="1" applyFill="1" applyBorder="1" applyAlignment="1">
      <alignment horizontal="left" vertical="center"/>
    </xf>
    <xf numFmtId="165" fontId="15" fillId="16" borderId="4" xfId="0" applyNumberFormat="1" applyFont="1" applyFill="1" applyBorder="1" applyAlignment="1">
      <alignment horizontal="left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4" fillId="11" borderId="4" xfId="0" applyNumberFormat="1" applyFont="1" applyFill="1" applyBorder="1" applyAlignment="1">
      <alignment horizontal="center" vertical="center"/>
    </xf>
    <xf numFmtId="3" fontId="13" fillId="11" borderId="4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8" fillId="15" borderId="4" xfId="0" applyNumberFormat="1" applyFont="1" applyFill="1" applyBorder="1" applyAlignment="1">
      <alignment horizontal="right" vertical="center"/>
    </xf>
    <xf numFmtId="3" fontId="28" fillId="16" borderId="4" xfId="0" applyNumberFormat="1" applyFont="1" applyFill="1" applyBorder="1" applyAlignment="1">
      <alignment horizontal="right" vertical="center"/>
    </xf>
    <xf numFmtId="3" fontId="23" fillId="2" borderId="4" xfId="0" applyNumberFormat="1" applyFont="1" applyFill="1" applyBorder="1" applyAlignment="1">
      <alignment horizontal="right" vertical="center"/>
    </xf>
    <xf numFmtId="3" fontId="23" fillId="5" borderId="4" xfId="0" applyNumberFormat="1" applyFont="1" applyFill="1" applyBorder="1" applyAlignment="1">
      <alignment horizontal="right" vertical="center"/>
    </xf>
    <xf numFmtId="3" fontId="23" fillId="4" borderId="4" xfId="0" applyNumberFormat="1" applyFont="1" applyFill="1" applyBorder="1" applyAlignment="1">
      <alignment horizontal="right" vertical="center"/>
    </xf>
    <xf numFmtId="3" fontId="23" fillId="3" borderId="4" xfId="0" applyNumberFormat="1" applyFont="1" applyFill="1" applyBorder="1" applyAlignment="1">
      <alignment horizontal="right" vertical="center"/>
    </xf>
    <xf numFmtId="3" fontId="23" fillId="7" borderId="4" xfId="0" applyNumberFormat="1" applyFont="1" applyFill="1" applyBorder="1" applyAlignment="1">
      <alignment horizontal="right" vertical="center"/>
    </xf>
    <xf numFmtId="3" fontId="23" fillId="19" borderId="4" xfId="0" applyNumberFormat="1" applyFont="1" applyFill="1" applyBorder="1" applyAlignment="1">
      <alignment horizontal="right" vertical="center"/>
    </xf>
    <xf numFmtId="3" fontId="23" fillId="8" borderId="4" xfId="0" applyNumberFormat="1" applyFont="1" applyFill="1" applyBorder="1" applyAlignment="1">
      <alignment horizontal="right" vertical="center"/>
    </xf>
    <xf numFmtId="0" fontId="29" fillId="11" borderId="4" xfId="0" applyFont="1" applyFill="1" applyBorder="1" applyAlignment="1">
      <alignment horizontal="center" vertical="center"/>
    </xf>
    <xf numFmtId="0" fontId="15" fillId="15" borderId="4" xfId="0" applyFont="1" applyFill="1" applyBorder="1"/>
    <xf numFmtId="3" fontId="15" fillId="15" borderId="4" xfId="0" applyNumberFormat="1" applyFont="1" applyFill="1" applyBorder="1"/>
    <xf numFmtId="165" fontId="15" fillId="15" borderId="4" xfId="0" applyNumberFormat="1" applyFont="1" applyFill="1" applyBorder="1"/>
    <xf numFmtId="164" fontId="15" fillId="15" borderId="4" xfId="0" applyNumberFormat="1" applyFont="1" applyFill="1" applyBorder="1"/>
    <xf numFmtId="0" fontId="15" fillId="16" borderId="4" xfId="0" applyFont="1" applyFill="1" applyBorder="1"/>
    <xf numFmtId="3" fontId="15" fillId="16" borderId="4" xfId="0" applyNumberFormat="1" applyFont="1" applyFill="1" applyBorder="1"/>
    <xf numFmtId="165" fontId="15" fillId="16" borderId="4" xfId="0" applyNumberFormat="1" applyFont="1" applyFill="1" applyBorder="1"/>
    <xf numFmtId="164" fontId="15" fillId="16" borderId="4" xfId="0" applyNumberFormat="1" applyFont="1" applyFill="1" applyBorder="1"/>
    <xf numFmtId="0" fontId="0" fillId="0" borderId="0" xfId="0"/>
    <xf numFmtId="0" fontId="10" fillId="21" borderId="4" xfId="0" applyFont="1" applyFill="1" applyBorder="1" applyAlignment="1">
      <alignment horizontal="center" vertical="center" wrapText="1"/>
    </xf>
    <xf numFmtId="0" fontId="16" fillId="22" borderId="4" xfId="0" applyFont="1" applyFill="1" applyBorder="1" applyAlignment="1">
      <alignment horizontal="left" vertical="center"/>
    </xf>
    <xf numFmtId="3" fontId="16" fillId="22" borderId="4" xfId="0" applyNumberFormat="1" applyFont="1" applyFill="1" applyBorder="1" applyAlignment="1">
      <alignment horizontal="left" vertical="center"/>
    </xf>
    <xf numFmtId="164" fontId="16" fillId="22" borderId="4" xfId="0" applyNumberFormat="1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3" fontId="15" fillId="23" borderId="4" xfId="0" applyNumberFormat="1" applyFont="1" applyFill="1" applyBorder="1" applyAlignment="1">
      <alignment horizontal="left" vertical="center"/>
    </xf>
    <xf numFmtId="3" fontId="16" fillId="23" borderId="4" xfId="0" applyNumberFormat="1" applyFont="1" applyFill="1" applyBorder="1" applyAlignment="1">
      <alignment horizontal="left" vertical="center"/>
    </xf>
    <xf numFmtId="165" fontId="16" fillId="23" borderId="4" xfId="0" applyNumberFormat="1" applyFont="1" applyFill="1" applyBorder="1" applyAlignment="1">
      <alignment horizontal="left" vertical="center"/>
    </xf>
    <xf numFmtId="0" fontId="15" fillId="23" borderId="4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0" xfId="0" applyFont="1" applyBorder="1" applyAlignment="1"/>
    <xf numFmtId="0" fontId="16" fillId="15" borderId="5" xfId="0" applyFont="1" applyFill="1" applyBorder="1" applyAlignment="1">
      <alignment horizontal="left" vertical="center"/>
    </xf>
    <xf numFmtId="0" fontId="15" fillId="15" borderId="5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left" vertical="center"/>
    </xf>
    <xf numFmtId="0" fontId="0" fillId="0" borderId="0" xfId="0"/>
    <xf numFmtId="0" fontId="3" fillId="0" borderId="2" xfId="0" applyFont="1" applyBorder="1"/>
    <xf numFmtId="0" fontId="16" fillId="23" borderId="6" xfId="0" applyFont="1" applyFill="1" applyBorder="1" applyAlignment="1">
      <alignment vertical="center"/>
    </xf>
    <xf numFmtId="0" fontId="16" fillId="23" borderId="0" xfId="0" applyFont="1" applyFill="1" applyBorder="1" applyAlignment="1">
      <alignment vertical="center"/>
    </xf>
    <xf numFmtId="0" fontId="35" fillId="33" borderId="8" xfId="0" applyFont="1" applyFill="1" applyBorder="1" applyAlignment="1">
      <alignment horizontal="left" vertical="center"/>
    </xf>
    <xf numFmtId="0" fontId="35" fillId="33" borderId="8" xfId="0" applyFont="1" applyFill="1" applyBorder="1" applyAlignment="1">
      <alignment horizontal="center" vertical="center"/>
    </xf>
    <xf numFmtId="166" fontId="36" fillId="22" borderId="8" xfId="0" applyNumberFormat="1" applyFont="1" applyFill="1" applyBorder="1" applyAlignment="1">
      <alignment horizontal="left" vertical="center"/>
    </xf>
    <xf numFmtId="166" fontId="35" fillId="33" borderId="8" xfId="0" applyNumberFormat="1" applyFont="1" applyFill="1" applyBorder="1" applyAlignment="1">
      <alignment horizontal="left" vertical="center"/>
    </xf>
    <xf numFmtId="15" fontId="35" fillId="33" borderId="8" xfId="0" applyNumberFormat="1" applyFont="1" applyFill="1" applyBorder="1" applyAlignment="1">
      <alignment horizontal="left" vertical="center"/>
    </xf>
    <xf numFmtId="166" fontId="36" fillId="35" borderId="8" xfId="0" applyNumberFormat="1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 wrapText="1"/>
    </xf>
    <xf numFmtId="0" fontId="35" fillId="37" borderId="8" xfId="0" applyFont="1" applyFill="1" applyBorder="1" applyAlignment="1">
      <alignment horizontal="left" vertical="center"/>
    </xf>
    <xf numFmtId="0" fontId="0" fillId="38" borderId="0" xfId="0" applyFont="1" applyFill="1" applyAlignment="1"/>
    <xf numFmtId="0" fontId="36" fillId="22" borderId="8" xfId="0" applyFont="1" applyFill="1" applyBorder="1" applyAlignment="1">
      <alignment horizontal="left" vertical="center"/>
    </xf>
    <xf numFmtId="166" fontId="35" fillId="33" borderId="8" xfId="0" applyNumberFormat="1" applyFont="1" applyFill="1" applyBorder="1" applyAlignment="1">
      <alignment horizontal="center" vertical="center"/>
    </xf>
    <xf numFmtId="0" fontId="1" fillId="0" borderId="0" xfId="1"/>
    <xf numFmtId="0" fontId="43" fillId="26" borderId="7" xfId="1" applyFont="1" applyFill="1" applyBorder="1" applyAlignment="1">
      <alignment horizontal="center" vertical="center"/>
    </xf>
    <xf numFmtId="0" fontId="44" fillId="22" borderId="8" xfId="1" applyFont="1" applyFill="1" applyBorder="1" applyAlignment="1">
      <alignment horizontal="left" vertical="center"/>
    </xf>
    <xf numFmtId="166" fontId="44" fillId="22" borderId="8" xfId="1" applyNumberFormat="1" applyFont="1" applyFill="1" applyBorder="1" applyAlignment="1">
      <alignment horizontal="left" vertical="center"/>
    </xf>
    <xf numFmtId="0" fontId="44" fillId="35" borderId="8" xfId="1" applyFont="1" applyFill="1" applyBorder="1" applyAlignment="1">
      <alignment horizontal="left" vertical="center"/>
    </xf>
    <xf numFmtId="166" fontId="44" fillId="35" borderId="8" xfId="1" applyNumberFormat="1" applyFont="1" applyFill="1" applyBorder="1" applyAlignment="1">
      <alignment horizontal="left" vertical="center"/>
    </xf>
    <xf numFmtId="15" fontId="44" fillId="22" borderId="8" xfId="1" applyNumberFormat="1" applyFont="1" applyFill="1" applyBorder="1" applyAlignment="1">
      <alignment horizontal="left" vertical="center"/>
    </xf>
    <xf numFmtId="0" fontId="45" fillId="33" borderId="8" xfId="0" applyFont="1" applyFill="1" applyBorder="1" applyAlignment="1">
      <alignment horizontal="left" vertical="center"/>
    </xf>
    <xf numFmtId="0" fontId="45" fillId="33" borderId="8" xfId="1" applyFont="1" applyFill="1" applyBorder="1" applyAlignment="1">
      <alignment horizontal="left" vertical="center"/>
    </xf>
    <xf numFmtId="15" fontId="45" fillId="33" borderId="8" xfId="1" applyNumberFormat="1" applyFont="1" applyFill="1" applyBorder="1" applyAlignment="1">
      <alignment horizontal="left" vertical="center"/>
    </xf>
    <xf numFmtId="166" fontId="45" fillId="33" borderId="8" xfId="1" applyNumberFormat="1" applyFont="1" applyFill="1" applyBorder="1" applyAlignment="1">
      <alignment horizontal="center" vertical="center"/>
    </xf>
    <xf numFmtId="166" fontId="45" fillId="33" borderId="8" xfId="1" applyNumberFormat="1" applyFont="1" applyFill="1" applyBorder="1" applyAlignment="1">
      <alignment horizontal="left" vertical="center"/>
    </xf>
    <xf numFmtId="0" fontId="45" fillId="33" borderId="8" xfId="1" applyFont="1" applyFill="1" applyBorder="1" applyAlignment="1">
      <alignment horizontal="center" vertical="center"/>
    </xf>
    <xf numFmtId="0" fontId="45" fillId="22" borderId="8" xfId="1" applyFont="1" applyFill="1" applyBorder="1" applyAlignment="1">
      <alignment horizontal="left" vertical="center"/>
    </xf>
    <xf numFmtId="0" fontId="46" fillId="16" borderId="4" xfId="0" applyFont="1" applyFill="1" applyBorder="1" applyAlignment="1">
      <alignment horizontal="left" vertical="center"/>
    </xf>
    <xf numFmtId="0" fontId="46" fillId="15" borderId="4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32" fillId="0" borderId="0" xfId="0" applyFont="1" applyAlignment="1"/>
    <xf numFmtId="0" fontId="30" fillId="2" borderId="4" xfId="0" applyFont="1" applyFill="1" applyBorder="1" applyAlignment="1">
      <alignment horizontal="center" vertical="center" wrapText="1"/>
    </xf>
    <xf numFmtId="165" fontId="16" fillId="39" borderId="4" xfId="0" applyNumberFormat="1" applyFont="1" applyFill="1" applyBorder="1" applyAlignment="1">
      <alignment horizontal="left" vertical="center"/>
    </xf>
    <xf numFmtId="165" fontId="16" fillId="40" borderId="4" xfId="0" applyNumberFormat="1" applyFont="1" applyFill="1" applyBorder="1" applyAlignment="1">
      <alignment horizontal="left" vertical="center"/>
    </xf>
    <xf numFmtId="165" fontId="46" fillId="39" borderId="4" xfId="0" applyNumberFormat="1" applyFont="1" applyFill="1" applyBorder="1" applyAlignment="1">
      <alignment horizontal="left" vertical="center"/>
    </xf>
    <xf numFmtId="165" fontId="15" fillId="36" borderId="4" xfId="0" applyNumberFormat="1" applyFont="1" applyFill="1" applyBorder="1" applyAlignment="1">
      <alignment horizontal="left" vertical="center"/>
    </xf>
    <xf numFmtId="0" fontId="47" fillId="26" borderId="0" xfId="1" applyFont="1" applyFill="1" applyAlignment="1">
      <alignment horizontal="center" vertical="center"/>
    </xf>
    <xf numFmtId="0" fontId="48" fillId="33" borderId="21" xfId="1" applyFont="1" applyFill="1" applyBorder="1" applyAlignment="1">
      <alignment horizontal="center" vertical="center"/>
    </xf>
    <xf numFmtId="0" fontId="41" fillId="26" borderId="8" xfId="1" applyFont="1" applyFill="1" applyBorder="1" applyAlignment="1">
      <alignment horizontal="center" vertical="center"/>
    </xf>
    <xf numFmtId="0" fontId="41" fillId="22" borderId="0" xfId="1" applyFont="1" applyFill="1" applyBorder="1" applyAlignment="1">
      <alignment horizontal="center" vertical="center"/>
    </xf>
    <xf numFmtId="166" fontId="47" fillId="33" borderId="8" xfId="1" applyNumberFormat="1" applyFont="1" applyFill="1" applyBorder="1" applyAlignment="1">
      <alignment horizontal="center" vertical="center"/>
    </xf>
    <xf numFmtId="0" fontId="47" fillId="33" borderId="8" xfId="1" applyFont="1" applyFill="1" applyBorder="1" applyAlignment="1">
      <alignment horizontal="center" vertical="center"/>
    </xf>
    <xf numFmtId="166" fontId="45" fillId="22" borderId="8" xfId="1" applyNumberFormat="1" applyFont="1" applyFill="1" applyBorder="1" applyAlignment="1">
      <alignment horizontal="left" vertical="center"/>
    </xf>
    <xf numFmtId="0" fontId="45" fillId="35" borderId="8" xfId="1" applyFont="1" applyFill="1" applyBorder="1" applyAlignment="1">
      <alignment horizontal="left" vertical="center"/>
    </xf>
    <xf numFmtId="166" fontId="45" fillId="35" borderId="8" xfId="1" applyNumberFormat="1" applyFont="1" applyFill="1" applyBorder="1" applyAlignment="1">
      <alignment horizontal="center" vertical="center"/>
    </xf>
    <xf numFmtId="166" fontId="45" fillId="35" borderId="8" xfId="1" applyNumberFormat="1" applyFont="1" applyFill="1" applyBorder="1" applyAlignment="1">
      <alignment horizontal="left" vertical="center"/>
    </xf>
    <xf numFmtId="15" fontId="45" fillId="35" borderId="8" xfId="1" applyNumberFormat="1" applyFont="1" applyFill="1" applyBorder="1" applyAlignment="1">
      <alignment horizontal="left" vertical="center"/>
    </xf>
    <xf numFmtId="166" fontId="45" fillId="22" borderId="8" xfId="1" applyNumberFormat="1" applyFont="1" applyFill="1" applyBorder="1" applyAlignment="1">
      <alignment horizontal="center" vertical="center"/>
    </xf>
    <xf numFmtId="0" fontId="45" fillId="22" borderId="8" xfId="1" applyFont="1" applyFill="1" applyBorder="1" applyAlignment="1">
      <alignment horizontal="center" vertical="center"/>
    </xf>
    <xf numFmtId="0" fontId="45" fillId="35" borderId="8" xfId="1" applyFont="1" applyFill="1" applyBorder="1" applyAlignment="1">
      <alignment horizontal="center" vertical="center"/>
    </xf>
    <xf numFmtId="166" fontId="52" fillId="26" borderId="8" xfId="1" applyNumberFormat="1" applyFont="1" applyFill="1" applyBorder="1" applyAlignment="1">
      <alignment horizontal="center" vertical="center"/>
    </xf>
    <xf numFmtId="0" fontId="52" fillId="26" borderId="8" xfId="1" applyFont="1" applyFill="1" applyBorder="1" applyAlignment="1">
      <alignment horizontal="center" vertical="center"/>
    </xf>
    <xf numFmtId="0" fontId="45" fillId="37" borderId="8" xfId="0" applyFont="1" applyFill="1" applyBorder="1" applyAlignment="1">
      <alignment horizontal="left" vertical="center"/>
    </xf>
    <xf numFmtId="0" fontId="45" fillId="33" borderId="8" xfId="0" applyFont="1" applyFill="1" applyBorder="1" applyAlignment="1">
      <alignment horizontal="center" vertical="center"/>
    </xf>
    <xf numFmtId="0" fontId="46" fillId="15" borderId="4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3" fillId="0" borderId="3" xfId="0" applyFont="1" applyBorder="1"/>
    <xf numFmtId="0" fontId="18" fillId="9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14" fillId="12" borderId="1" xfId="0" applyNumberFormat="1" applyFont="1" applyFill="1" applyBorder="1" applyAlignment="1">
      <alignment horizontal="center" vertical="center"/>
    </xf>
    <xf numFmtId="3" fontId="14" fillId="14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3" fontId="14" fillId="10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3" fontId="14" fillId="11" borderId="1" xfId="0" applyNumberFormat="1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" fontId="34" fillId="33" borderId="8" xfId="0" applyNumberFormat="1" applyFont="1" applyFill="1" applyBorder="1" applyAlignment="1">
      <alignment horizontal="center" vertical="center"/>
    </xf>
    <xf numFmtId="0" fontId="0" fillId="0" borderId="0" xfId="0"/>
    <xf numFmtId="3" fontId="34" fillId="34" borderId="16" xfId="0" applyNumberFormat="1" applyFont="1" applyFill="1" applyBorder="1" applyAlignment="1">
      <alignment horizontal="center" vertical="center"/>
    </xf>
    <xf numFmtId="3" fontId="34" fillId="34" borderId="0" xfId="0" applyNumberFormat="1" applyFont="1" applyFill="1" applyBorder="1" applyAlignment="1">
      <alignment horizontal="center" vertical="center"/>
    </xf>
    <xf numFmtId="3" fontId="34" fillId="34" borderId="18" xfId="0" applyNumberFormat="1" applyFont="1" applyFill="1" applyBorder="1" applyAlignment="1">
      <alignment horizontal="center" vertical="center"/>
    </xf>
    <xf numFmtId="3" fontId="34" fillId="33" borderId="6" xfId="0" applyNumberFormat="1" applyFont="1" applyFill="1" applyBorder="1" applyAlignment="1">
      <alignment horizontal="center" vertical="center"/>
    </xf>
    <xf numFmtId="3" fontId="34" fillId="33" borderId="0" xfId="0" applyNumberFormat="1" applyFont="1" applyFill="1" applyBorder="1" applyAlignment="1">
      <alignment horizontal="center" vertical="center"/>
    </xf>
    <xf numFmtId="3" fontId="34" fillId="33" borderId="17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3" fontId="34" fillId="29" borderId="8" xfId="0" applyNumberFormat="1" applyFont="1" applyFill="1" applyBorder="1" applyAlignment="1">
      <alignment horizontal="center" vertical="center"/>
    </xf>
    <xf numFmtId="3" fontId="34" fillId="27" borderId="8" xfId="0" applyNumberFormat="1" applyFont="1" applyFill="1" applyBorder="1" applyAlignment="1">
      <alignment horizontal="center" vertical="center"/>
    </xf>
    <xf numFmtId="0" fontId="33" fillId="28" borderId="9" xfId="0" applyFont="1" applyFill="1" applyBorder="1" applyAlignment="1">
      <alignment horizontal="center" vertical="center"/>
    </xf>
    <xf numFmtId="0" fontId="33" fillId="30" borderId="10" xfId="0" applyFont="1" applyFill="1" applyBorder="1" applyAlignment="1">
      <alignment horizontal="center" vertical="center"/>
    </xf>
    <xf numFmtId="0" fontId="33" fillId="31" borderId="11" xfId="0" applyFont="1" applyFill="1" applyBorder="1" applyAlignment="1">
      <alignment horizontal="center" vertical="center"/>
    </xf>
    <xf numFmtId="0" fontId="33" fillId="32" borderId="14" xfId="0" applyFont="1" applyFill="1" applyBorder="1" applyAlignment="1">
      <alignment horizontal="center" vertical="center"/>
    </xf>
    <xf numFmtId="0" fontId="33" fillId="32" borderId="0" xfId="0" applyFont="1" applyFill="1" applyBorder="1" applyAlignment="1">
      <alignment horizontal="center" vertical="center"/>
    </xf>
    <xf numFmtId="0" fontId="33" fillId="32" borderId="15" xfId="0" applyFont="1" applyFill="1" applyBorder="1" applyAlignment="1">
      <alignment horizontal="center" vertical="center"/>
    </xf>
    <xf numFmtId="0" fontId="33" fillId="20" borderId="14" xfId="0" applyFont="1" applyFill="1" applyBorder="1" applyAlignment="1">
      <alignment horizontal="center" vertical="center"/>
    </xf>
    <xf numFmtId="0" fontId="33" fillId="20" borderId="0" xfId="0" applyFont="1" applyFill="1" applyBorder="1" applyAlignment="1">
      <alignment horizontal="center" vertical="center"/>
    </xf>
    <xf numFmtId="0" fontId="33" fillId="20" borderId="19" xfId="0" applyFont="1" applyFill="1" applyBorder="1" applyAlignment="1">
      <alignment horizontal="center" vertical="center"/>
    </xf>
    <xf numFmtId="0" fontId="33" fillId="26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3" fontId="17" fillId="13" borderId="1" xfId="0" applyNumberFormat="1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3" fontId="17" fillId="12" borderId="1" xfId="0" applyNumberFormat="1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 wrapText="1"/>
    </xf>
    <xf numFmtId="0" fontId="10" fillId="21" borderId="0" xfId="0" applyFont="1" applyFill="1" applyBorder="1" applyAlignment="1">
      <alignment horizontal="center" vertical="center" wrapText="1"/>
    </xf>
    <xf numFmtId="0" fontId="11" fillId="24" borderId="4" xfId="0" applyFont="1" applyFill="1" applyBorder="1" applyAlignment="1">
      <alignment horizontal="left" vertical="center"/>
    </xf>
    <xf numFmtId="3" fontId="13" fillId="11" borderId="1" xfId="0" applyNumberFormat="1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7" fillId="1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3" fontId="13" fillId="12" borderId="2" xfId="0" applyNumberFormat="1" applyFont="1" applyFill="1" applyBorder="1" applyAlignment="1">
      <alignment horizontal="center" vertical="center"/>
    </xf>
    <xf numFmtId="3" fontId="13" fillId="10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3" fontId="13" fillId="11" borderId="2" xfId="0" applyNumberFormat="1" applyFont="1" applyFill="1" applyBorder="1" applyAlignment="1">
      <alignment horizontal="center" vertical="center"/>
    </xf>
    <xf numFmtId="0" fontId="33" fillId="28" borderId="20" xfId="0" applyFont="1" applyFill="1" applyBorder="1" applyAlignment="1">
      <alignment horizontal="center" vertical="center"/>
    </xf>
    <xf numFmtId="0" fontId="33" fillId="28" borderId="2" xfId="0" applyFont="1" applyFill="1" applyBorder="1" applyAlignment="1">
      <alignment horizontal="center" vertical="center"/>
    </xf>
    <xf numFmtId="0" fontId="33" fillId="32" borderId="12" xfId="0" applyFont="1" applyFill="1" applyBorder="1" applyAlignment="1">
      <alignment horizontal="center" vertical="center"/>
    </xf>
    <xf numFmtId="3" fontId="34" fillId="34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37" fillId="26" borderId="0" xfId="1" applyFont="1" applyFill="1" applyAlignment="1">
      <alignment horizontal="center" vertical="center"/>
    </xf>
    <xf numFmtId="0" fontId="1" fillId="0" borderId="0" xfId="1"/>
    <xf numFmtId="0" fontId="39" fillId="20" borderId="0" xfId="1" applyFont="1" applyFill="1" applyAlignment="1">
      <alignment horizontal="center" vertical="center"/>
    </xf>
    <xf numFmtId="0" fontId="43" fillId="20" borderId="0" xfId="1" applyFont="1" applyFill="1" applyAlignment="1">
      <alignment horizontal="left" vertical="center"/>
    </xf>
    <xf numFmtId="0" fontId="51" fillId="0" borderId="0" xfId="1" applyFont="1"/>
    <xf numFmtId="22" fontId="45" fillId="0" borderId="0" xfId="1" applyNumberFormat="1" applyFont="1"/>
    <xf numFmtId="0" fontId="51" fillId="25" borderId="0" xfId="1" applyFont="1" applyFill="1" applyAlignment="1">
      <alignment horizontal="right" vertical="center"/>
    </xf>
    <xf numFmtId="0" fontId="44" fillId="22" borderId="0" xfId="1" applyFont="1" applyFill="1" applyAlignment="1">
      <alignment horizontal="left" vertical="center"/>
    </xf>
    <xf numFmtId="0" fontId="40" fillId="25" borderId="0" xfId="1" applyFont="1" applyFill="1" applyAlignment="1">
      <alignment horizontal="left" vertical="center"/>
    </xf>
    <xf numFmtId="0" fontId="52" fillId="26" borderId="0" xfId="1" applyFont="1" applyFill="1" applyAlignment="1">
      <alignment horizontal="center" vertical="center"/>
    </xf>
    <xf numFmtId="0" fontId="47" fillId="27" borderId="0" xfId="1" applyFont="1" applyFill="1" applyAlignment="1">
      <alignment horizontal="right" vertical="center"/>
    </xf>
    <xf numFmtId="0" fontId="49" fillId="22" borderId="0" xfId="1" applyFont="1" applyFill="1" applyAlignment="1">
      <alignment horizontal="center" vertical="center"/>
    </xf>
    <xf numFmtId="0" fontId="50" fillId="22" borderId="0" xfId="1" applyFont="1" applyFill="1" applyAlignment="1">
      <alignment horizontal="center" vertical="center"/>
    </xf>
    <xf numFmtId="0" fontId="21" fillId="17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" fontId="13" fillId="13" borderId="2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66" fontId="42" fillId="29" borderId="8" xfId="1" applyNumberFormat="1" applyFont="1" applyFill="1" applyBorder="1" applyAlignment="1">
      <alignment horizontal="center" vertical="center"/>
    </xf>
    <xf numFmtId="3" fontId="42" fillId="27" borderId="8" xfId="1" applyNumberFormat="1" applyFont="1" applyFill="1" applyBorder="1" applyAlignment="1">
      <alignment horizontal="center" vertical="center"/>
    </xf>
    <xf numFmtId="166" fontId="42" fillId="27" borderId="8" xfId="1" applyNumberFormat="1" applyFont="1" applyFill="1" applyBorder="1" applyAlignment="1">
      <alignment horizontal="center" vertical="center"/>
    </xf>
    <xf numFmtId="166" fontId="42" fillId="33" borderId="8" xfId="1" applyNumberFormat="1" applyFont="1" applyFill="1" applyBorder="1" applyAlignment="1">
      <alignment horizontal="center" vertical="center"/>
    </xf>
    <xf numFmtId="0" fontId="40" fillId="34" borderId="8" xfId="1" applyFont="1" applyFill="1" applyBorder="1" applyAlignment="1">
      <alignment horizontal="left" vertical="center" wrapText="1"/>
    </xf>
    <xf numFmtId="0" fontId="41" fillId="28" borderId="9" xfId="1" applyFont="1" applyFill="1" applyBorder="1" applyAlignment="1">
      <alignment horizontal="center" vertical="center"/>
    </xf>
    <xf numFmtId="0" fontId="41" fillId="30" borderId="10" xfId="1" applyFont="1" applyFill="1" applyBorder="1" applyAlignment="1">
      <alignment horizontal="center" vertical="center"/>
    </xf>
    <xf numFmtId="0" fontId="41" fillId="20" borderId="13" xfId="1" applyFont="1" applyFill="1" applyBorder="1" applyAlignment="1">
      <alignment horizontal="center" vertical="center"/>
    </xf>
    <xf numFmtId="0" fontId="41" fillId="26" borderId="7" xfId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3" fontId="13" fillId="14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left" vertical="center"/>
    </xf>
    <xf numFmtId="0" fontId="24" fillId="18" borderId="1" xfId="0" applyFont="1" applyFill="1" applyBorder="1" applyAlignment="1">
      <alignment horizontal="center" vertical="center"/>
    </xf>
    <xf numFmtId="164" fontId="13" fillId="11" borderId="1" xfId="0" applyNumberFormat="1" applyFont="1" applyFill="1" applyBorder="1" applyAlignment="1">
      <alignment horizontal="center" vertical="center"/>
    </xf>
    <xf numFmtId="3" fontId="13" fillId="13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6" fillId="16" borderId="0" xfId="0" applyFont="1" applyFill="1" applyBorder="1" applyAlignment="1">
      <alignment horizontal="left" vertical="center"/>
    </xf>
    <xf numFmtId="3" fontId="16" fillId="16" borderId="0" xfId="0" applyNumberFormat="1" applyFont="1" applyFill="1" applyBorder="1" applyAlignment="1">
      <alignment horizontal="left" vertical="center"/>
    </xf>
    <xf numFmtId="3" fontId="15" fillId="16" borderId="0" xfId="0" applyNumberFormat="1" applyFont="1" applyFill="1" applyBorder="1" applyAlignment="1">
      <alignment horizontal="left" vertical="center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61"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3F2FD"/>
          <bgColor rgb="FFE3F2FD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CE9F5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3F2FD"/>
          <bgColor rgb="FFE3F2FD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CE9F5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3F2FD"/>
          <bgColor rgb="FFE3F2FD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CE9F5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3F2FD"/>
          <bgColor rgb="FFE3F2FD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colors>
    <mruColors>
      <color rgb="FFF2E89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A\Downloads\Property_ERP_Enterprise_v3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A\Downloads\Ababeel_Construction_ERP_v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📊 Dashboard"/>
      <sheetName val="📖 Guide"/>
      <sheetName val="🏗️ Projects"/>
      <sheetName val="👥 Partners"/>
      <sheetName val="🏢 Towers"/>
      <sheetName val="🏘️ Flats"/>
      <sheetName val="📅 Installments"/>
      <sheetName val="💳 Payments"/>
      <sheetName val="👤 Customers"/>
      <sheetName val="📋 Pay Plans"/>
      <sheetName val="🏪 Vendors"/>
      <sheetName val="👷 Contractors"/>
      <sheetName val="👔 Employees"/>
      <sheetName val="📦 Materials"/>
      <sheetName val="🧾 Expenses"/>
      <sheetName val="📦 PO Register"/>
      <sheetName val="🏗️ Const. Log"/>
      <sheetName val="🏦 Bank Book"/>
      <sheetName val="💵 Cash Book"/>
      <sheetName val="🧾 Vouchers"/>
      <sheetName val="📒 Gen. Ledger"/>
      <sheetName val="⚖️ Trial Balance"/>
      <sheetName val="📊 P&amp;L"/>
      <sheetName val="🏛️ Balance Sheet"/>
      <sheetName val="💧 Cash Flow"/>
      <sheetName val="📋 Receivables"/>
      <sheetName val="📤 Payables"/>
      <sheetName val="📦 Inventory"/>
      <sheetName val="📈 Sales Report"/>
      <sheetName val="🔍 Audit Trail"/>
    </sheetNames>
    <sheetDataSet>
      <sheetData sheetId="0"/>
      <sheetData sheetId="1"/>
      <sheetData sheetId="2"/>
      <sheetData sheetId="3">
        <row r="1">
          <cell r="A1" t="str">
            <v>👥  PARTNER MASTER  —  Capital, Profit Ratio &amp; Live Balances</v>
          </cell>
          <cell r="B1">
            <v>0</v>
          </cell>
        </row>
        <row r="2">
          <cell r="A2" t="str">
            <v>Auto Profit Share from P&amp;L | Partner Ledger | Contribution Log</v>
          </cell>
          <cell r="B2">
            <v>0</v>
          </cell>
        </row>
        <row r="3">
          <cell r="A3" t="str">
            <v>Total Capital</v>
          </cell>
          <cell r="B3">
            <v>0</v>
          </cell>
        </row>
        <row r="4">
          <cell r="A4">
            <v>701000000</v>
          </cell>
          <cell r="B4">
            <v>0</v>
          </cell>
        </row>
        <row r="6">
          <cell r="A6" t="str">
            <v xml:space="preserve">  PARTNER REGISTER</v>
          </cell>
          <cell r="B6">
            <v>0</v>
          </cell>
        </row>
        <row r="7">
          <cell r="A7" t="str">
            <v>Partner ID</v>
          </cell>
          <cell r="B7" t="str">
            <v>Partner Name</v>
          </cell>
        </row>
        <row r="8">
          <cell r="A8" t="str">
            <v>P-001</v>
          </cell>
          <cell r="B8" t="str">
            <v xml:space="preserve">Taufeeq Ahmed </v>
          </cell>
        </row>
        <row r="9">
          <cell r="A9" t="str">
            <v>P-002</v>
          </cell>
          <cell r="B9" t="str">
            <v xml:space="preserve">sharjeel ahmed </v>
          </cell>
        </row>
        <row r="10">
          <cell r="A10" t="str">
            <v>P-003</v>
          </cell>
          <cell r="B10" t="str">
            <v xml:space="preserve">Faraz Gulzar </v>
          </cell>
        </row>
        <row r="11">
          <cell r="A11" t="str">
            <v>P-004</v>
          </cell>
          <cell r="B11" t="str">
            <v xml:space="preserve">Faroog Ahmed </v>
          </cell>
        </row>
        <row r="13">
          <cell r="A13" t="str">
            <v xml:space="preserve">  CONTRIBUTION LOG</v>
          </cell>
          <cell r="B13">
            <v>0</v>
          </cell>
        </row>
        <row r="14">
          <cell r="A14" t="str">
            <v>Txn ID</v>
          </cell>
          <cell r="B14" t="str">
            <v>Date</v>
          </cell>
        </row>
        <row r="15">
          <cell r="A15" t="str">
            <v>PC-001</v>
          </cell>
          <cell r="B15" t="str">
            <v>2026-01-15</v>
          </cell>
        </row>
        <row r="16">
          <cell r="A16" t="str">
            <v>PC-002</v>
          </cell>
          <cell r="B16" t="str">
            <v>2026-01-15</v>
          </cell>
        </row>
        <row r="17">
          <cell r="A17" t="str">
            <v>PC-003</v>
          </cell>
          <cell r="B17" t="str">
            <v>2026-01-15</v>
          </cell>
        </row>
        <row r="18">
          <cell r="A18" t="str">
            <v>PC-004</v>
          </cell>
          <cell r="B18" t="str">
            <v>2026-01-15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2">
          <cell r="H32">
            <v>24100000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📊 Dashboard"/>
      <sheetName val="📖 Guide"/>
      <sheetName val="🏘️ Flat Register"/>
      <sheetName val="👤 Customer DB"/>
      <sheetName val="📋 Booking Register"/>
      <sheetName val="📄 Customer Statement"/>
      <sheetName val="💳 Payment Entry"/>
      <sheetName val="📒 Payment Register"/>
      <sheetName val="🔍 Available Flats"/>
      <sheetName val="❌ Cancellation"/>
      <sheetName val="🏗️ Construction"/>
      <sheetName val="💰 Refund Schedule"/>
      <sheetName val="🏠 Possession"/>
      <sheetName val="📂 Document Checklist"/>
      <sheetName val="📈 Reports"/>
    </sheetNames>
    <sheetDataSet>
      <sheetData sheetId="0"/>
      <sheetData sheetId="1"/>
      <sheetData sheetId="2">
        <row r="1">
          <cell r="A1" t="str">
            <v>🏘️ FLAT REGISTER — Master Inventory</v>
          </cell>
        </row>
        <row r="2">
          <cell r="A2" t="str">
            <v>Enter each flat ONCE. All other sheets read from here.</v>
          </cell>
        </row>
        <row r="3">
          <cell r="A3" t="str">
            <v>Total Flats</v>
          </cell>
        </row>
        <row r="4">
          <cell r="A4">
            <v>6</v>
          </cell>
        </row>
        <row r="6">
          <cell r="A6" t="str">
            <v xml:space="preserve">  ▌ FLAT INVENTORY — YELLOW CELLS = ENTER DATA</v>
          </cell>
        </row>
        <row r="7">
          <cell r="A7" t="str">
            <v>Flat/Shop No</v>
          </cell>
          <cell r="H7" t="str">
            <v>Total Price [AUTO]</v>
          </cell>
          <cell r="K7" t="str">
            <v>Net Price [AUTO]</v>
          </cell>
        </row>
        <row r="8">
          <cell r="A8">
            <v>302</v>
          </cell>
          <cell r="H8">
            <v>5800000</v>
          </cell>
          <cell r="K8">
            <v>5800000</v>
          </cell>
        </row>
        <row r="9">
          <cell r="A9" t="str">
            <v>303</v>
          </cell>
          <cell r="H9">
            <v>5800000</v>
          </cell>
          <cell r="K9">
            <v>5800000</v>
          </cell>
        </row>
        <row r="10">
          <cell r="A10" t="str">
            <v>304</v>
          </cell>
          <cell r="H10">
            <v>5800000</v>
          </cell>
          <cell r="K10">
            <v>5800000</v>
          </cell>
        </row>
        <row r="11">
          <cell r="A11">
            <v>401</v>
          </cell>
          <cell r="H11">
            <v>6000000</v>
          </cell>
          <cell r="K11">
            <v>5850000</v>
          </cell>
        </row>
        <row r="12">
          <cell r="A12" t="str">
            <v>402</v>
          </cell>
          <cell r="H12">
            <v>6600000</v>
          </cell>
          <cell r="K12">
            <v>6600000</v>
          </cell>
        </row>
      </sheetData>
      <sheetData sheetId="3"/>
      <sheetData sheetId="4"/>
      <sheetData sheetId="5"/>
      <sheetData sheetId="6">
        <row r="8">
          <cell r="D8" t="str">
            <v>Flat No
[ENTER]</v>
          </cell>
          <cell r="G8" t="str">
            <v>Payment Type
[ENTER]</v>
          </cell>
          <cell r="H8" t="str">
            <v>Amount (PKR)
[ENTER]</v>
          </cell>
        </row>
        <row r="11">
          <cell r="D11">
            <v>302</v>
          </cell>
          <cell r="G11" t="str">
            <v>Membership Fee</v>
          </cell>
          <cell r="H11">
            <v>500000</v>
          </cell>
        </row>
        <row r="12">
          <cell r="D12">
            <v>302</v>
          </cell>
          <cell r="G12" t="str">
            <v>Confirmation</v>
          </cell>
          <cell r="H12">
            <v>500000</v>
          </cell>
        </row>
        <row r="13">
          <cell r="D13">
            <v>302</v>
          </cell>
          <cell r="G13" t="str">
            <v>Allocation</v>
          </cell>
          <cell r="H13">
            <v>500000</v>
          </cell>
        </row>
        <row r="14">
          <cell r="D14">
            <v>302</v>
          </cell>
          <cell r="G14" t="str">
            <v>Start of Work</v>
          </cell>
          <cell r="H14">
            <v>500000</v>
          </cell>
        </row>
        <row r="15">
          <cell r="D15">
            <v>302</v>
          </cell>
          <cell r="G15" t="str">
            <v>Installment</v>
          </cell>
          <cell r="H15">
            <v>150000</v>
          </cell>
        </row>
        <row r="16">
          <cell r="D16">
            <v>302</v>
          </cell>
          <cell r="G16" t="str">
            <v>Installment 2</v>
          </cell>
          <cell r="H16">
            <v>350000</v>
          </cell>
        </row>
        <row r="17">
          <cell r="D17">
            <v>302</v>
          </cell>
          <cell r="G17" t="str">
            <v>Installment 3</v>
          </cell>
          <cell r="H17">
            <v>400000</v>
          </cell>
        </row>
        <row r="18">
          <cell r="D18">
            <v>302</v>
          </cell>
          <cell r="G18" t="str">
            <v>Installment</v>
          </cell>
          <cell r="H18">
            <v>400000</v>
          </cell>
        </row>
        <row r="19">
          <cell r="D19">
            <v>302</v>
          </cell>
          <cell r="G19" t="str">
            <v>Installment</v>
          </cell>
          <cell r="H19">
            <v>40000</v>
          </cell>
        </row>
        <row r="20">
          <cell r="D20">
            <v>302</v>
          </cell>
          <cell r="G20" t="str">
            <v>Installment 3</v>
          </cell>
          <cell r="H20">
            <v>350000</v>
          </cell>
        </row>
        <row r="21">
          <cell r="D21">
            <v>302</v>
          </cell>
          <cell r="G21" t="str">
            <v>Installment</v>
          </cell>
          <cell r="H21">
            <v>300000</v>
          </cell>
        </row>
        <row r="22">
          <cell r="D22">
            <v>302</v>
          </cell>
          <cell r="G22" t="str">
            <v>Installment</v>
          </cell>
          <cell r="H22">
            <v>200000</v>
          </cell>
        </row>
        <row r="23">
          <cell r="D23">
            <v>302</v>
          </cell>
          <cell r="G23" t="str">
            <v>Installment 3</v>
          </cell>
          <cell r="H23">
            <v>30000</v>
          </cell>
        </row>
        <row r="24">
          <cell r="D24">
            <v>302</v>
          </cell>
          <cell r="G24" t="str">
            <v>Installment 3</v>
          </cell>
          <cell r="H24">
            <v>40000</v>
          </cell>
        </row>
        <row r="25">
          <cell r="D25">
            <v>302</v>
          </cell>
          <cell r="G25" t="str">
            <v>Installment 3</v>
          </cell>
          <cell r="H25">
            <v>60000</v>
          </cell>
        </row>
        <row r="26">
          <cell r="D26">
            <v>302</v>
          </cell>
          <cell r="G26" t="str">
            <v>Installment 3</v>
          </cell>
          <cell r="H26">
            <v>155000</v>
          </cell>
        </row>
        <row r="27">
          <cell r="D27">
            <v>302</v>
          </cell>
          <cell r="G27" t="str">
            <v>Installment 3</v>
          </cell>
          <cell r="H27">
            <v>500000</v>
          </cell>
        </row>
        <row r="28">
          <cell r="D28">
            <v>302</v>
          </cell>
          <cell r="G28" t="str">
            <v>Installment 3</v>
          </cell>
          <cell r="H28">
            <v>1000000</v>
          </cell>
        </row>
        <row r="29">
          <cell r="D29">
            <v>302</v>
          </cell>
          <cell r="G29" t="str">
            <v>Installment 3</v>
          </cell>
          <cell r="H29">
            <v>40000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0"/>
  <sheetViews>
    <sheetView showGridLines="0" topLeftCell="A25" workbookViewId="0">
      <selection sqref="A1:R1"/>
    </sheetView>
  </sheetViews>
  <sheetFormatPr defaultColWidth="14.42578125" defaultRowHeight="15" customHeight="1"/>
  <cols>
    <col min="1" max="1" width="120" customWidth="1"/>
    <col min="2" max="26" width="8.7109375" customWidth="1"/>
  </cols>
  <sheetData>
    <row r="1" spans="1:18" ht="37.5" customHeight="1">
      <c r="A1" s="132" t="s">
        <v>59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60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4" spans="1:18" ht="21.75" customHeight="1">
      <c r="A4" s="129" t="s">
        <v>61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5"/>
    </row>
    <row r="5" spans="1:18" ht="21.75" customHeight="1">
      <c r="A5" s="126" t="s">
        <v>62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7" spans="1:18" ht="21.75" customHeight="1">
      <c r="A7" s="131" t="s">
        <v>63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5"/>
    </row>
    <row r="8" spans="1:18" ht="21.75" customHeight="1">
      <c r="A8" s="123" t="s">
        <v>64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5"/>
    </row>
    <row r="9" spans="1:18" ht="21.75" customHeight="1">
      <c r="A9" s="123" t="s">
        <v>65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5"/>
    </row>
    <row r="10" spans="1:18" ht="21.75" customHeight="1">
      <c r="A10" s="123" t="s">
        <v>66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5"/>
    </row>
    <row r="11" spans="1:18" ht="21.75" customHeight="1">
      <c r="A11" s="123" t="s">
        <v>67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5"/>
    </row>
    <row r="13" spans="1:18" ht="21.75" customHeight="1">
      <c r="A13" s="131" t="s">
        <v>68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5"/>
    </row>
    <row r="14" spans="1:18" ht="21.75" customHeight="1">
      <c r="A14" s="126" t="s">
        <v>69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5"/>
    </row>
    <row r="15" spans="1:18" ht="21.75" customHeight="1">
      <c r="A15" s="126" t="s">
        <v>70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5"/>
    </row>
    <row r="16" spans="1:18" ht="21.75" customHeight="1">
      <c r="A16" s="126" t="s">
        <v>71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5"/>
    </row>
    <row r="17" spans="1:18" ht="21.75" customHeight="1">
      <c r="A17" s="126" t="s">
        <v>72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5"/>
    </row>
    <row r="18" spans="1:18" ht="21.75" customHeight="1">
      <c r="A18" s="126" t="s">
        <v>73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5"/>
    </row>
    <row r="20" spans="1:18" ht="21.75" customHeight="1">
      <c r="A20" s="130" t="s">
        <v>74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</row>
    <row r="21" spans="1:18" ht="21.75" customHeight="1">
      <c r="A21" s="127" t="s">
        <v>75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</row>
    <row r="22" spans="1:18" ht="21.75" customHeight="1">
      <c r="A22" s="127" t="s">
        <v>76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5"/>
    </row>
    <row r="23" spans="1:18" ht="21.75" customHeight="1">
      <c r="A23" s="127" t="s">
        <v>77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5"/>
    </row>
    <row r="24" spans="1:18" ht="21.75" customHeight="1">
      <c r="A24" s="127" t="s">
        <v>78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5"/>
    </row>
    <row r="25" spans="1:18" ht="21.75" customHeight="1">
      <c r="A25" s="127" t="s">
        <v>79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5"/>
    </row>
    <row r="26" spans="1:18" ht="21.75" customHeight="1">
      <c r="A26" s="127" t="s">
        <v>80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5"/>
    </row>
    <row r="27" spans="1:18" ht="21.75" customHeight="1">
      <c r="A27" s="127" t="s">
        <v>81</v>
      </c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5"/>
    </row>
    <row r="28" spans="1:18" ht="21.75" customHeight="1">
      <c r="A28" s="127" t="s">
        <v>82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5"/>
    </row>
    <row r="29" spans="1:18" ht="21.75" customHeight="1">
      <c r="A29" s="127" t="s">
        <v>83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5"/>
    </row>
    <row r="30" spans="1:18" ht="21.75" customHeight="1">
      <c r="A30" s="127" t="s">
        <v>84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</row>
    <row r="31" spans="1:18" ht="21.75" customHeight="1">
      <c r="A31" s="127" t="s">
        <v>85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5"/>
    </row>
    <row r="32" spans="1:18" ht="21.75" customHeight="1">
      <c r="A32" s="127" t="s">
        <v>86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5"/>
    </row>
    <row r="33" spans="1:18" ht="15.75" customHeight="1"/>
    <row r="34" spans="1:18" ht="21.75" customHeight="1">
      <c r="A34" s="129" t="s">
        <v>87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5"/>
    </row>
    <row r="35" spans="1:18" ht="21.75" customHeight="1">
      <c r="A35" s="128" t="s">
        <v>88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5"/>
    </row>
    <row r="36" spans="1:18" ht="21.75" customHeight="1">
      <c r="A36" s="128" t="s">
        <v>89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5"/>
    </row>
    <row r="37" spans="1:18" ht="21.75" customHeight="1">
      <c r="A37" s="128" t="s">
        <v>90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5"/>
    </row>
    <row r="38" spans="1:18" ht="21.75" customHeight="1">
      <c r="A38" s="128" t="s">
        <v>91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5"/>
    </row>
    <row r="39" spans="1:18" ht="21.75" customHeight="1">
      <c r="A39" s="128" t="s">
        <v>92</v>
      </c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5"/>
    </row>
    <row r="40" spans="1:18" ht="21.75" customHeight="1">
      <c r="A40" s="128" t="s">
        <v>93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5"/>
    </row>
    <row r="41" spans="1:18" ht="21.75" customHeight="1">
      <c r="A41" s="128" t="s">
        <v>94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5"/>
    </row>
    <row r="42" spans="1:18" ht="15.75" customHeight="1"/>
    <row r="43" spans="1:18" ht="21.75" customHeight="1">
      <c r="A43" s="129" t="s">
        <v>95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5"/>
    </row>
    <row r="44" spans="1:18" ht="21.75" customHeight="1">
      <c r="A44" s="123" t="s">
        <v>96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5"/>
    </row>
    <row r="45" spans="1:18" ht="21.75" customHeight="1">
      <c r="A45" s="126" t="s">
        <v>97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5"/>
    </row>
    <row r="46" spans="1:18" ht="21.75" customHeight="1">
      <c r="A46" s="127" t="s">
        <v>98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5"/>
    </row>
    <row r="47" spans="1:18" ht="21.75" customHeight="1">
      <c r="A47" s="128" t="s">
        <v>99</v>
      </c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5"/>
    </row>
    <row r="48" spans="1:18" ht="21.75" customHeight="1">
      <c r="A48" s="126" t="s">
        <v>100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R1"/>
    <mergeCell ref="A2:R2"/>
    <mergeCell ref="A4:R4"/>
    <mergeCell ref="A5:R5"/>
    <mergeCell ref="A7:R7"/>
    <mergeCell ref="A8:R8"/>
    <mergeCell ref="A9:R9"/>
    <mergeCell ref="A10:R10"/>
    <mergeCell ref="A11:R11"/>
    <mergeCell ref="A13:R13"/>
    <mergeCell ref="A14:R14"/>
    <mergeCell ref="A15:R15"/>
    <mergeCell ref="A16:R16"/>
    <mergeCell ref="A17:R17"/>
    <mergeCell ref="A18:R18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41:R41"/>
    <mergeCell ref="A43:R43"/>
    <mergeCell ref="A34:R34"/>
    <mergeCell ref="A35:R35"/>
    <mergeCell ref="A36:R36"/>
    <mergeCell ref="A37:R37"/>
    <mergeCell ref="A38:R38"/>
    <mergeCell ref="A39:R39"/>
    <mergeCell ref="A40:R40"/>
    <mergeCell ref="A44:R44"/>
    <mergeCell ref="A45:R45"/>
    <mergeCell ref="A46:R46"/>
    <mergeCell ref="A47:R47"/>
    <mergeCell ref="A48:R48"/>
  </mergeCells>
  <pageMargins left="0.5" right="0.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00"/>
  <sheetViews>
    <sheetView showGridLines="0" workbookViewId="0">
      <pane ySplit="4" topLeftCell="A5" activePane="bottomLeft" state="frozen"/>
      <selection pane="bottomLeft" activeCell="E7" sqref="E7:H7"/>
    </sheetView>
  </sheetViews>
  <sheetFormatPr defaultColWidth="14.42578125" defaultRowHeight="15" customHeight="1"/>
  <cols>
    <col min="1" max="1" width="20" customWidth="1"/>
    <col min="2" max="2" width="8" customWidth="1"/>
    <col min="3" max="3" width="16" customWidth="1"/>
    <col min="4" max="4" width="14" customWidth="1"/>
    <col min="5" max="5" width="16" customWidth="1"/>
    <col min="6" max="8" width="12" customWidth="1"/>
    <col min="9" max="10" width="10" customWidth="1"/>
    <col min="11" max="11" width="12" customWidth="1"/>
    <col min="12" max="26" width="8.7109375" customWidth="1"/>
  </cols>
  <sheetData>
    <row r="1" spans="1:24" ht="37.5" customHeight="1">
      <c r="A1" s="132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5"/>
    </row>
    <row r="2" spans="1:24" ht="18" customHeight="1">
      <c r="A2" s="133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5"/>
    </row>
    <row r="3" spans="1:24" ht="24" customHeight="1">
      <c r="A3" s="167" t="s">
        <v>2</v>
      </c>
      <c r="B3" s="124"/>
      <c r="C3" s="124"/>
      <c r="D3" s="125"/>
      <c r="E3" s="168" t="s">
        <v>3</v>
      </c>
      <c r="F3" s="124"/>
      <c r="G3" s="124"/>
      <c r="H3" s="125"/>
      <c r="I3" s="169" t="s">
        <v>4</v>
      </c>
      <c r="J3" s="124"/>
      <c r="K3" s="124"/>
      <c r="L3" s="125"/>
      <c r="M3" s="170" t="s">
        <v>5</v>
      </c>
      <c r="N3" s="124"/>
      <c r="O3" s="124"/>
      <c r="P3" s="125"/>
      <c r="Q3" s="171" t="s">
        <v>6</v>
      </c>
      <c r="R3" s="124"/>
      <c r="S3" s="124"/>
      <c r="T3" s="125"/>
      <c r="U3" s="172" t="s">
        <v>7</v>
      </c>
      <c r="V3" s="124"/>
      <c r="W3" s="124"/>
      <c r="X3" s="125"/>
    </row>
    <row r="5" spans="1:24" ht="21.75" customHeight="1">
      <c r="A5" s="136" t="s">
        <v>8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5"/>
    </row>
    <row r="6" spans="1:24" ht="19.5" customHeight="1">
      <c r="A6" s="166" t="s">
        <v>9</v>
      </c>
      <c r="B6" s="147"/>
      <c r="C6" s="147"/>
      <c r="D6" s="147"/>
      <c r="E6" s="157" t="s">
        <v>10</v>
      </c>
      <c r="F6" s="147"/>
      <c r="G6" s="147"/>
      <c r="H6" s="147"/>
      <c r="I6" s="158" t="s">
        <v>11</v>
      </c>
      <c r="J6" s="147"/>
      <c r="K6" s="147"/>
      <c r="L6" s="147"/>
      <c r="M6" s="159" t="s">
        <v>12</v>
      </c>
      <c r="N6" s="147"/>
      <c r="O6" s="147"/>
      <c r="P6" s="147"/>
      <c r="Q6" s="160" t="s">
        <v>13</v>
      </c>
      <c r="R6" s="161"/>
      <c r="S6" s="161"/>
      <c r="T6" s="162"/>
      <c r="U6" s="163" t="s">
        <v>14</v>
      </c>
      <c r="V6" s="164"/>
      <c r="W6" s="164"/>
      <c r="X6" s="165"/>
    </row>
    <row r="7" spans="1:24" ht="36" customHeight="1">
      <c r="A7" s="156">
        <f>COUNTA('🏘️ Flat Register'!A8:A4992)</f>
        <v>11</v>
      </c>
      <c r="B7" s="147"/>
      <c r="C7" s="147"/>
      <c r="D7" s="147"/>
      <c r="E7" s="155">
        <f>COUNTIF('🏘️ Flat Register'!L:L,"Sold")</f>
        <v>1</v>
      </c>
      <c r="F7" s="147"/>
      <c r="G7" s="147"/>
      <c r="H7" s="147"/>
      <c r="I7" s="156">
        <f>COUNTIF('🏘️ Flat Register'!L:L,"Available")</f>
        <v>8</v>
      </c>
      <c r="J7" s="147"/>
      <c r="K7" s="147"/>
      <c r="L7" s="147"/>
      <c r="M7" s="146">
        <f>COUNTIF('🏘️ Flat Register'!L:L,"Hold")+COUNTIF('🏘️ Flat Register'!L:L,"Booked")</f>
        <v>2</v>
      </c>
      <c r="N7" s="147"/>
      <c r="O7" s="147"/>
      <c r="P7" s="147"/>
      <c r="Q7" s="148">
        <f>COUNTIF('🏘️ Flat Register'!L:L,"Cancelled")</f>
        <v>0</v>
      </c>
      <c r="R7" s="149"/>
      <c r="S7" s="149"/>
      <c r="T7" s="150"/>
      <c r="U7" s="151">
        <f>COUNTA('🏗️ Projects'!A4:A500)</f>
        <v>1</v>
      </c>
      <c r="V7" s="152"/>
      <c r="W7" s="152"/>
      <c r="X7" s="153"/>
    </row>
    <row r="9" spans="1:24" ht="21.75" customHeight="1">
      <c r="A9" s="136" t="s">
        <v>15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5"/>
    </row>
    <row r="10" spans="1:24" ht="19.5" customHeight="1">
      <c r="A10" s="144" t="s">
        <v>16</v>
      </c>
      <c r="B10" s="124"/>
      <c r="C10" s="124"/>
      <c r="D10" s="124"/>
      <c r="E10" s="124"/>
      <c r="F10" s="125"/>
      <c r="G10" s="154" t="s">
        <v>17</v>
      </c>
      <c r="H10" s="124"/>
      <c r="I10" s="124"/>
      <c r="J10" s="124"/>
      <c r="K10" s="124"/>
      <c r="L10" s="125"/>
      <c r="M10" s="139" t="s">
        <v>18</v>
      </c>
      <c r="N10" s="124"/>
      <c r="O10" s="124"/>
      <c r="P10" s="124"/>
      <c r="Q10" s="124"/>
      <c r="R10" s="125"/>
      <c r="S10" s="143" t="s">
        <v>19</v>
      </c>
      <c r="T10" s="124"/>
      <c r="U10" s="124"/>
      <c r="V10" s="124"/>
      <c r="W10" s="124"/>
      <c r="X10" s="125"/>
    </row>
    <row r="11" spans="1:24" ht="36" customHeight="1">
      <c r="A11" s="137">
        <f>SUMIF('🏘️ Flat Register'!L:L,"Sold",'🏘️ Flat Register'!H:H)</f>
        <v>5670000</v>
      </c>
      <c r="B11" s="124"/>
      <c r="C11" s="124"/>
      <c r="D11" s="124"/>
      <c r="E11" s="124"/>
      <c r="F11" s="125"/>
      <c r="G11" s="141">
        <f>SUM('💳 PAYMENTS Entery'!H11:H49967)</f>
        <v>2580000</v>
      </c>
      <c r="H11" s="124"/>
      <c r="I11" s="124"/>
      <c r="J11" s="124"/>
      <c r="K11" s="124"/>
      <c r="L11" s="125"/>
      <c r="M11" s="134">
        <f>D10-J10</f>
        <v>0</v>
      </c>
      <c r="N11" s="124"/>
      <c r="O11" s="124"/>
      <c r="P11" s="124"/>
      <c r="Q11" s="124"/>
      <c r="R11" s="125"/>
      <c r="S11" s="142">
        <f>IFERROR(J10/D10,0)</f>
        <v>0</v>
      </c>
      <c r="T11" s="124"/>
      <c r="U11" s="124"/>
      <c r="V11" s="124"/>
      <c r="W11" s="124"/>
      <c r="X11" s="125"/>
    </row>
    <row r="13" spans="1:24" ht="21.75" customHeight="1">
      <c r="A13" s="136" t="s">
        <v>20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5"/>
    </row>
    <row r="14" spans="1:24" ht="19.5" customHeight="1">
      <c r="A14" s="145" t="s">
        <v>21</v>
      </c>
      <c r="B14" s="124"/>
      <c r="C14" s="124"/>
      <c r="D14" s="124"/>
      <c r="E14" s="124"/>
      <c r="F14" s="125"/>
      <c r="G14" s="143" t="s">
        <v>22</v>
      </c>
      <c r="H14" s="124"/>
      <c r="I14" s="124"/>
      <c r="J14" s="124"/>
      <c r="K14" s="124"/>
      <c r="L14" s="125"/>
      <c r="M14" s="139" t="s">
        <v>23</v>
      </c>
      <c r="N14" s="124"/>
      <c r="O14" s="124"/>
      <c r="P14" s="124"/>
      <c r="Q14" s="124"/>
      <c r="R14" s="125"/>
      <c r="S14" s="144" t="s">
        <v>24</v>
      </c>
      <c r="T14" s="124"/>
      <c r="U14" s="124"/>
      <c r="V14" s="124"/>
      <c r="W14" s="124"/>
      <c r="X14" s="125"/>
    </row>
    <row r="15" spans="1:24" ht="36" customHeight="1">
      <c r="A15" s="141">
        <f>'🏦 Bank Book AUTO'!E12</f>
        <v>-3315000</v>
      </c>
      <c r="B15" s="124"/>
      <c r="C15" s="124"/>
      <c r="D15" s="124"/>
      <c r="E15" s="124"/>
      <c r="F15" s="125"/>
      <c r="G15" s="140">
        <f>'💵 Cash Book AUTO'!D7</f>
        <v>1835000</v>
      </c>
      <c r="H15" s="124"/>
      <c r="I15" s="124"/>
      <c r="J15" s="124"/>
      <c r="K15" s="124"/>
      <c r="L15" s="125"/>
      <c r="M15" s="134">
        <f>SUM('🧾 EXPENSES ← Enter Here'!J11:J50000)</f>
        <v>4060000</v>
      </c>
      <c r="N15" s="124"/>
      <c r="O15" s="124"/>
      <c r="P15" s="124"/>
      <c r="Q15" s="124"/>
      <c r="R15" s="125"/>
      <c r="S15" s="137">
        <f>'📊 P&amp;L AUTO'!H29</f>
        <v>1610000</v>
      </c>
      <c r="T15" s="124"/>
      <c r="U15" s="124"/>
      <c r="V15" s="124"/>
      <c r="W15" s="124"/>
      <c r="X15" s="125"/>
    </row>
    <row r="17" spans="1:24" ht="21.75" customHeight="1">
      <c r="A17" s="136" t="s">
        <v>25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5"/>
    </row>
    <row r="18" spans="1:24" ht="19.5" customHeight="1">
      <c r="A18" s="139" t="s">
        <v>26</v>
      </c>
      <c r="B18" s="124"/>
      <c r="C18" s="124"/>
      <c r="D18" s="124"/>
      <c r="E18" s="124"/>
      <c r="F18" s="125"/>
      <c r="G18" s="138" t="s">
        <v>27</v>
      </c>
      <c r="H18" s="124"/>
      <c r="I18" s="124"/>
      <c r="J18" s="124"/>
      <c r="K18" s="124"/>
      <c r="L18" s="125"/>
      <c r="M18" s="139" t="s">
        <v>28</v>
      </c>
      <c r="N18" s="124"/>
      <c r="O18" s="124"/>
      <c r="P18" s="124"/>
      <c r="Q18" s="124"/>
      <c r="R18" s="125"/>
      <c r="S18" s="138" t="s">
        <v>29</v>
      </c>
      <c r="T18" s="124"/>
      <c r="U18" s="124"/>
      <c r="V18" s="124"/>
      <c r="W18" s="124"/>
      <c r="X18" s="125"/>
    </row>
    <row r="19" spans="1:24" ht="36" customHeight="1">
      <c r="A19" s="134">
        <f ca="1">COUNTIF('📅 Installments AUTO'!N:N,"Overdue")</f>
        <v>2</v>
      </c>
      <c r="B19" s="124"/>
      <c r="C19" s="124"/>
      <c r="D19" s="124"/>
      <c r="E19" s="124"/>
      <c r="F19" s="125"/>
      <c r="G19" s="135">
        <f ca="1">COUNTIF('📅 Installments AUTO'!N:N,"Pending")</f>
        <v>8</v>
      </c>
      <c r="H19" s="124"/>
      <c r="I19" s="124"/>
      <c r="J19" s="124"/>
      <c r="K19" s="124"/>
      <c r="L19" s="125"/>
      <c r="M19" s="134">
        <f ca="1">SUMIF('📅 Installments AUTO'!N:N,"Overdue",'📅 Installments AUTO'!K:K)</f>
        <v>1150000</v>
      </c>
      <c r="N19" s="124"/>
      <c r="O19" s="124"/>
      <c r="P19" s="124"/>
      <c r="Q19" s="124"/>
      <c r="R19" s="125"/>
      <c r="S19" s="135">
        <f>COUNTIF('📦 Materials'!K:K,"LOW STOCK")</f>
        <v>4</v>
      </c>
      <c r="T19" s="124"/>
      <c r="U19" s="124"/>
      <c r="V19" s="124"/>
      <c r="W19" s="124"/>
      <c r="X19" s="125"/>
    </row>
    <row r="21" spans="1:24" ht="21.75" customHeight="1">
      <c r="A21" s="136" t="s">
        <v>30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5"/>
    </row>
    <row r="22" spans="1:24" ht="21.75" customHeight="1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38</v>
      </c>
      <c r="I22" s="1" t="s">
        <v>39</v>
      </c>
      <c r="J22" s="1" t="s">
        <v>40</v>
      </c>
      <c r="K22" s="1" t="s">
        <v>41</v>
      </c>
    </row>
    <row r="23" spans="1:24" ht="19.5" customHeight="1">
      <c r="A23" s="2" t="str">
        <f>IFERROR(VLOOKUP('📋 Receivables AUTO'!B9,'👤 Customers'!A:C,2,0),"")</f>
        <v>AB-Sachal-GH/2024/1/2024</v>
      </c>
      <c r="B23" s="2">
        <f>'📋 Receivables AUTO'!A9</f>
        <v>101</v>
      </c>
      <c r="C23" s="3">
        <f>'📋 Receivables AUTO'!D9</f>
        <v>3915000</v>
      </c>
      <c r="D23" s="3">
        <f>'📋 Receivables AUTO'!E9</f>
        <v>0</v>
      </c>
      <c r="E23" s="3">
        <f>'📋 Receivables AUTO'!F9</f>
        <v>3915000</v>
      </c>
      <c r="F23" s="3">
        <f>'📋 Receivables AUTO'!G9</f>
        <v>0</v>
      </c>
      <c r="G23" s="3">
        <f>'📋 Receivables AUTO'!H9</f>
        <v>0</v>
      </c>
      <c r="H23" s="3">
        <f>'📋 Receivables AUTO'!I9+'📋 Receivables AUTO'!J9</f>
        <v>0</v>
      </c>
      <c r="I23" s="4">
        <f>'📋 Receivables AUTO'!K9</f>
        <v>0</v>
      </c>
      <c r="J23" s="2" t="str">
        <f>'📋 Receivables AUTO'!N9</f>
        <v>MED</v>
      </c>
      <c r="K23" s="2" t="str">
        <f>IF('📋 Receivables AUTO'!F9&gt;0,IF('📋 Receivables AUTO'!G9+'📋 Receivables AUTO'!H9&gt;0,"OVERDUE","PENDING"),"CLEAR")</f>
        <v>PENDING</v>
      </c>
    </row>
    <row r="24" spans="1:24" ht="19.5" customHeight="1">
      <c r="A24" s="5" t="str">
        <f>IFERROR(VLOOKUP('📋 Receivables AUTO'!B10,'👤 Customers'!A:C,2,0),"")</f>
        <v>AB-Sachal-GH/2024/2/2024</v>
      </c>
      <c r="B24" s="5">
        <f>'📋 Receivables AUTO'!A10</f>
        <v>202</v>
      </c>
      <c r="C24" s="6">
        <f>'📋 Receivables AUTO'!D10</f>
        <v>5670000</v>
      </c>
      <c r="D24" s="6">
        <f>'📋 Receivables AUTO'!E10</f>
        <v>2430000</v>
      </c>
      <c r="E24" s="6">
        <f>'📋 Receivables AUTO'!F10</f>
        <v>3240000</v>
      </c>
      <c r="F24" s="6">
        <f>'📋 Receivables AUTO'!G10</f>
        <v>0</v>
      </c>
      <c r="G24" s="6">
        <f>'📋 Receivables AUTO'!H10</f>
        <v>0</v>
      </c>
      <c r="H24" s="6">
        <f>'📋 Receivables AUTO'!I10+'📋 Receivables AUTO'!J10</f>
        <v>0</v>
      </c>
      <c r="I24" s="7">
        <f>'📋 Receivables AUTO'!K10</f>
        <v>0.42857142857142855</v>
      </c>
      <c r="J24" s="5" t="str">
        <f>'📋 Receivables AUTO'!N10</f>
        <v>MED</v>
      </c>
      <c r="K24" s="5" t="str">
        <f>IF('📋 Receivables AUTO'!F10&gt;0,IF('📋 Receivables AUTO'!G10+'📋 Receivables AUTO'!H10&gt;0,"OVERDUE","PENDING"),"CLEAR")</f>
        <v>PENDING</v>
      </c>
    </row>
    <row r="25" spans="1:24" ht="15.75" customHeight="1"/>
    <row r="26" spans="1:24" ht="21.75" customHeight="1">
      <c r="A26" s="136" t="s">
        <v>42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5"/>
    </row>
    <row r="27" spans="1:24" ht="21.75" customHeight="1">
      <c r="A27" s="1" t="s">
        <v>43</v>
      </c>
      <c r="B27" s="1" t="s">
        <v>44</v>
      </c>
      <c r="C27" s="1" t="s">
        <v>45</v>
      </c>
    </row>
    <row r="28" spans="1:24" ht="18" customHeight="1">
      <c r="A28" s="8" t="s">
        <v>46</v>
      </c>
      <c r="B28" s="9">
        <f>IFERROR(SUMIF('🧾 EXPENSES ← Enter Here'!E:E,"Material",'🧾 EXPENSES ← Enter Here'!J:J),0)</f>
        <v>0</v>
      </c>
      <c r="C28" s="10">
        <f t="shared" ref="C28:C33" si="0">IFERROR(B28/SUM($B$28:$B$33),0)</f>
        <v>0</v>
      </c>
    </row>
    <row r="29" spans="1:24" ht="18" customHeight="1">
      <c r="A29" s="11" t="s">
        <v>47</v>
      </c>
      <c r="B29" s="12">
        <f>IFERROR(SUMIF('🧾 EXPENSES ← Enter Here'!E:E,"Labor",'🧾 EXPENSES ← Enter Here'!J:J),0)</f>
        <v>0</v>
      </c>
      <c r="C29" s="13">
        <f t="shared" si="0"/>
        <v>0</v>
      </c>
    </row>
    <row r="30" spans="1:24" ht="18" customHeight="1">
      <c r="A30" s="8" t="s">
        <v>48</v>
      </c>
      <c r="B30" s="9">
        <f>IFERROR(SUMIF('🧾 EXPENSES ← Enter Here'!E:E,"Contractor",'🧾 EXPENSES ← Enter Here'!J:J),0)</f>
        <v>0</v>
      </c>
      <c r="C30" s="10">
        <f t="shared" si="0"/>
        <v>0</v>
      </c>
    </row>
    <row r="31" spans="1:24" ht="18" customHeight="1">
      <c r="A31" s="11" t="s">
        <v>49</v>
      </c>
      <c r="B31" s="12">
        <f>IFERROR(SUMIF('🧾 EXPENSES ← Enter Here'!E:E,"Admin",'🧾 EXPENSES ← Enter Here'!J:J),0)</f>
        <v>0</v>
      </c>
      <c r="C31" s="13">
        <f t="shared" si="0"/>
        <v>0</v>
      </c>
    </row>
    <row r="32" spans="1:24" ht="18" customHeight="1">
      <c r="A32" s="8" t="s">
        <v>50</v>
      </c>
      <c r="B32" s="9">
        <f>IFERROR(SUMIF('🧾 EXPENSES ← Enter Here'!E:E,"Marketing",'🧾 EXPENSES ← Enter Here'!J:J),0)</f>
        <v>0</v>
      </c>
      <c r="C32" s="10">
        <f t="shared" si="0"/>
        <v>0</v>
      </c>
    </row>
    <row r="33" spans="1:24" ht="18" customHeight="1">
      <c r="A33" s="11" t="s">
        <v>51</v>
      </c>
      <c r="B33" s="12">
        <f>IFERROR(SUMIF('🧾 EXPENSES ← Enter Here'!E:E,"Other",'🧾 EXPENSES ← Enter Here'!J:J),0)</f>
        <v>4060000</v>
      </c>
      <c r="C33" s="13">
        <f t="shared" si="0"/>
        <v>1</v>
      </c>
    </row>
    <row r="34" spans="1:24" ht="21.75" customHeight="1">
      <c r="A34" s="14" t="s">
        <v>52</v>
      </c>
      <c r="B34" s="15">
        <f>SUM(B28:B33)</f>
        <v>4060000</v>
      </c>
      <c r="C34" s="16" t="s">
        <v>53</v>
      </c>
    </row>
    <row r="35" spans="1:24" ht="15.75" customHeight="1"/>
    <row r="36" spans="1:24" ht="21.75" customHeight="1">
      <c r="A36" s="136" t="s">
        <v>54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5"/>
    </row>
    <row r="37" spans="1:24" ht="19.5" customHeight="1">
      <c r="A37" s="175" t="s">
        <v>55</v>
      </c>
      <c r="B37" s="124"/>
      <c r="C37" s="124"/>
      <c r="D37" s="124"/>
      <c r="E37" s="124"/>
      <c r="F37" s="125"/>
      <c r="G37" s="175" t="s">
        <v>56</v>
      </c>
      <c r="H37" s="124"/>
      <c r="I37" s="124"/>
      <c r="J37" s="124"/>
      <c r="K37" s="124"/>
      <c r="L37" s="125"/>
      <c r="M37" s="143" t="s">
        <v>57</v>
      </c>
      <c r="N37" s="124"/>
      <c r="O37" s="124"/>
      <c r="P37" s="124"/>
      <c r="Q37" s="124"/>
      <c r="R37" s="125"/>
      <c r="S37" s="139" t="s">
        <v>58</v>
      </c>
      <c r="T37" s="124"/>
      <c r="U37" s="124"/>
      <c r="V37" s="124"/>
      <c r="W37" s="124"/>
      <c r="X37" s="125"/>
    </row>
    <row r="38" spans="1:24" ht="36" customHeight="1">
      <c r="A38" s="173">
        <f>IFERROR('📊 P&amp;L AUTO'!H29*0.5,0)</f>
        <v>805000</v>
      </c>
      <c r="B38" s="124"/>
      <c r="C38" s="124"/>
      <c r="D38" s="124"/>
      <c r="E38" s="124"/>
      <c r="F38" s="125"/>
      <c r="G38" s="173">
        <f>IFERROR('📊 P&amp;L AUTO'!H29*0.5,0)</f>
        <v>805000</v>
      </c>
      <c r="H38" s="124"/>
      <c r="I38" s="124"/>
      <c r="J38" s="124"/>
      <c r="K38" s="124"/>
      <c r="L38" s="125"/>
      <c r="M38" s="174">
        <f>IFERROR(MAX('🏗️ Site Log'!J4:J500),0)</f>
        <v>0.15</v>
      </c>
      <c r="N38" s="124"/>
      <c r="O38" s="124"/>
      <c r="P38" s="124"/>
      <c r="Q38" s="124"/>
      <c r="R38" s="125"/>
      <c r="S38" s="176">
        <f>IFERROR(SUM('📤 Payables AUTO'!F6:F500),0)</f>
        <v>0</v>
      </c>
      <c r="T38" s="124"/>
      <c r="U38" s="124"/>
      <c r="V38" s="124"/>
      <c r="W38" s="124"/>
      <c r="X38" s="125"/>
    </row>
    <row r="39" spans="1:24" ht="15.75" customHeight="1"/>
    <row r="40" spans="1:24" ht="15.75" customHeight="1"/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G38:L38"/>
    <mergeCell ref="M38:R38"/>
    <mergeCell ref="A26:X26"/>
    <mergeCell ref="A36:X36"/>
    <mergeCell ref="A37:F37"/>
    <mergeCell ref="G37:L37"/>
    <mergeCell ref="M37:R37"/>
    <mergeCell ref="S37:X37"/>
    <mergeCell ref="A38:F38"/>
    <mergeCell ref="S38:X38"/>
    <mergeCell ref="A1:X1"/>
    <mergeCell ref="A2:X2"/>
    <mergeCell ref="A3:D3"/>
    <mergeCell ref="E3:H3"/>
    <mergeCell ref="I3:L3"/>
    <mergeCell ref="M3:P3"/>
    <mergeCell ref="Q3:T3"/>
    <mergeCell ref="U3:X3"/>
    <mergeCell ref="A5:X5"/>
    <mergeCell ref="E6:H6"/>
    <mergeCell ref="I6:L6"/>
    <mergeCell ref="M6:P6"/>
    <mergeCell ref="Q6:T6"/>
    <mergeCell ref="U6:X6"/>
    <mergeCell ref="A6:D6"/>
    <mergeCell ref="M7:P7"/>
    <mergeCell ref="Q7:T7"/>
    <mergeCell ref="U7:X7"/>
    <mergeCell ref="A9:X9"/>
    <mergeCell ref="G10:L10"/>
    <mergeCell ref="M10:R10"/>
    <mergeCell ref="S10:X10"/>
    <mergeCell ref="E7:H7"/>
    <mergeCell ref="I7:L7"/>
    <mergeCell ref="A7:D7"/>
    <mergeCell ref="A10:F10"/>
    <mergeCell ref="M11:R11"/>
    <mergeCell ref="S11:X11"/>
    <mergeCell ref="A13:X13"/>
    <mergeCell ref="G14:L14"/>
    <mergeCell ref="M14:R14"/>
    <mergeCell ref="S14:X14"/>
    <mergeCell ref="G11:L11"/>
    <mergeCell ref="A11:F11"/>
    <mergeCell ref="A14:F14"/>
    <mergeCell ref="M19:R19"/>
    <mergeCell ref="S19:X19"/>
    <mergeCell ref="A21:X21"/>
    <mergeCell ref="M15:R15"/>
    <mergeCell ref="S15:X15"/>
    <mergeCell ref="A17:X17"/>
    <mergeCell ref="G18:L18"/>
    <mergeCell ref="M18:R18"/>
    <mergeCell ref="S18:X18"/>
    <mergeCell ref="A18:F18"/>
    <mergeCell ref="A19:F19"/>
    <mergeCell ref="G19:L19"/>
    <mergeCell ref="G15:L15"/>
    <mergeCell ref="A15:F15"/>
  </mergeCells>
  <conditionalFormatting sqref="D19:L19">
    <cfRule type="expression" dxfId="60" priority="1">
      <formula>D19&gt;0</formula>
    </cfRule>
  </conditionalFormatting>
  <conditionalFormatting sqref="K23:K30">
    <cfRule type="cellIs" dxfId="59" priority="2" operator="equal">
      <formula>"OVERDUE"</formula>
    </cfRule>
  </conditionalFormatting>
  <conditionalFormatting sqref="K23:K30">
    <cfRule type="cellIs" dxfId="58" priority="3" operator="equal">
      <formula>"CLEAR"</formula>
    </cfRule>
  </conditionalFormatting>
  <conditionalFormatting sqref="K23:K30">
    <cfRule type="cellIs" dxfId="57" priority="4" operator="equal">
      <formula>"PENDING"</formula>
    </cfRule>
  </conditionalFormatting>
  <hyperlinks>
    <hyperlink ref="A3" r:id="rId1"/>
    <hyperlink ref="E3" r:id="rId2"/>
    <hyperlink ref="I3" r:id="rId3"/>
    <hyperlink ref="M3" r:id="rId4"/>
    <hyperlink ref="Q3" r:id="rId5"/>
  </hyperlinks>
  <pageMargins left="0.5" right="0.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00"/>
  <sheetViews>
    <sheetView showGridLines="0" workbookViewId="0">
      <pane ySplit="3" topLeftCell="A4" activePane="bottomLeft" state="frozen"/>
      <selection pane="bottomLeft" activeCell="H4" sqref="H4"/>
    </sheetView>
  </sheetViews>
  <sheetFormatPr defaultColWidth="14.42578125" defaultRowHeight="15" customHeight="1"/>
  <cols>
    <col min="1" max="1" width="12" customWidth="1"/>
    <col min="2" max="2" width="28" customWidth="1"/>
    <col min="3" max="3" width="16" customWidth="1"/>
    <col min="4" max="4" width="28" customWidth="1"/>
    <col min="5" max="6" width="12" customWidth="1"/>
    <col min="7" max="8" width="18" customWidth="1"/>
    <col min="9" max="9" width="16" customWidth="1"/>
    <col min="10" max="12" width="10" customWidth="1"/>
    <col min="13" max="14" width="18" customWidth="1"/>
    <col min="15" max="15" width="12" customWidth="1"/>
    <col min="16" max="26" width="8.7109375" customWidth="1"/>
  </cols>
  <sheetData>
    <row r="1" spans="1:19" ht="37.5" customHeight="1">
      <c r="A1" s="132" t="s">
        <v>101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5"/>
    </row>
    <row r="2" spans="1:19" ht="18" customHeight="1">
      <c r="A2" s="133" t="s">
        <v>102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</row>
    <row r="3" spans="1:19" ht="21.75" customHeight="1">
      <c r="A3" s="1" t="s">
        <v>103</v>
      </c>
      <c r="B3" s="1" t="s">
        <v>104</v>
      </c>
      <c r="C3" s="1" t="s">
        <v>105</v>
      </c>
      <c r="D3" s="1" t="s">
        <v>106</v>
      </c>
      <c r="E3" s="1" t="s">
        <v>107</v>
      </c>
      <c r="F3" s="1" t="s">
        <v>108</v>
      </c>
      <c r="G3" s="1" t="s">
        <v>109</v>
      </c>
      <c r="H3" s="1" t="s">
        <v>110</v>
      </c>
      <c r="I3" s="1" t="s">
        <v>111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41</v>
      </c>
    </row>
    <row r="4" spans="1:19" ht="19.5" customHeight="1">
      <c r="A4" s="17" t="s">
        <v>117</v>
      </c>
      <c r="B4" s="17" t="s">
        <v>118</v>
      </c>
      <c r="C4" s="17" t="s">
        <v>119</v>
      </c>
      <c r="D4" s="17" t="s">
        <v>120</v>
      </c>
      <c r="E4" s="122" t="s">
        <v>854</v>
      </c>
      <c r="F4" s="18">
        <v>46752</v>
      </c>
      <c r="G4" s="19">
        <v>250000000</v>
      </c>
      <c r="H4" s="3">
        <f>IFERROR(SUMIF('🧾 EXPENSES ← Enter Here'!D:D,A4,'🧾 EXPENSES ← Enter Here'!J:J),0)</f>
        <v>4000000</v>
      </c>
      <c r="I4" s="3">
        <f>G4-H4</f>
        <v>246000000</v>
      </c>
      <c r="J4" s="4">
        <f>IFERROR(H4/G4,0)</f>
        <v>1.6E-2</v>
      </c>
      <c r="K4" s="2">
        <f>IFERROR(COUNTIF('🏘️ Flat Register'!B:B,A4),0)</f>
        <v>11</v>
      </c>
      <c r="L4" s="2">
        <f>IFERROR(COUNTIFS('🏘️ Flat Register'!B:B,A4,'🏘️ Flat Register'!L:L,"Sold"),0)</f>
        <v>1</v>
      </c>
      <c r="M4" s="3">
        <f>IFERROR(SUMIFS('🏘️ Flat Register'!H:H,'🏘️ Flat Register'!B:B,A4,'🏘️ Flat Register'!L:L,"Sold"),0)</f>
        <v>5670000</v>
      </c>
      <c r="N4" s="17" t="s">
        <v>121</v>
      </c>
      <c r="O4" s="17" t="s">
        <v>122</v>
      </c>
    </row>
    <row r="5" spans="1:19">
      <c r="B5" s="97"/>
      <c r="O5" s="20"/>
    </row>
    <row r="6" spans="1:19">
      <c r="O6" s="20"/>
    </row>
    <row r="7" spans="1:19">
      <c r="O7" s="20"/>
    </row>
    <row r="8" spans="1:19">
      <c r="O8" s="20"/>
    </row>
    <row r="9" spans="1:19">
      <c r="O9" s="20"/>
    </row>
    <row r="10" spans="1:19">
      <c r="O10" s="20"/>
    </row>
    <row r="11" spans="1:19">
      <c r="O11" s="20"/>
    </row>
    <row r="12" spans="1:19">
      <c r="O12" s="20"/>
    </row>
    <row r="13" spans="1:19">
      <c r="O13" s="20"/>
    </row>
    <row r="14" spans="1:19">
      <c r="O14" s="20"/>
    </row>
    <row r="15" spans="1:19">
      <c r="O15" s="20"/>
    </row>
    <row r="16" spans="1:19">
      <c r="O16" s="20"/>
    </row>
    <row r="17" spans="15:15">
      <c r="O17" s="20"/>
    </row>
    <row r="18" spans="15:15">
      <c r="O18" s="20"/>
    </row>
    <row r="19" spans="15:15">
      <c r="O19" s="20"/>
    </row>
    <row r="20" spans="15:15">
      <c r="O20" s="20"/>
    </row>
    <row r="21" spans="15:15" ht="15.75" customHeight="1">
      <c r="O21" s="20"/>
    </row>
    <row r="22" spans="15:15" ht="15.75" customHeight="1">
      <c r="O22" s="20"/>
    </row>
    <row r="23" spans="15:15" ht="15.75" customHeight="1">
      <c r="O23" s="20"/>
    </row>
    <row r="24" spans="15:15" ht="15.75" customHeight="1">
      <c r="O24" s="20"/>
    </row>
    <row r="25" spans="15:15" ht="15.75" customHeight="1">
      <c r="O25" s="20"/>
    </row>
    <row r="26" spans="15:15" ht="15.75" customHeight="1">
      <c r="O26" s="20"/>
    </row>
    <row r="27" spans="15:15" ht="15.75" customHeight="1">
      <c r="O27" s="20"/>
    </row>
    <row r="28" spans="15:15" ht="15.75" customHeight="1">
      <c r="O28" s="20"/>
    </row>
    <row r="29" spans="15:15" ht="15.75" customHeight="1">
      <c r="O29" s="20"/>
    </row>
    <row r="30" spans="15:15" ht="15.75" customHeight="1">
      <c r="O30" s="20"/>
    </row>
    <row r="31" spans="15:15" ht="15.75" customHeight="1">
      <c r="O31" s="20"/>
    </row>
    <row r="32" spans="15:15" ht="15.75" customHeight="1">
      <c r="O32" s="20"/>
    </row>
    <row r="33" spans="3:15" ht="15.75" customHeight="1">
      <c r="O33" s="20"/>
    </row>
    <row r="34" spans="3:15" ht="15.75" customHeight="1">
      <c r="C34" s="98"/>
      <c r="O34" s="20"/>
    </row>
    <row r="35" spans="3:15" ht="15.75" customHeight="1">
      <c r="O35" s="20"/>
    </row>
    <row r="36" spans="3:15" ht="15.75" customHeight="1">
      <c r="O36" s="20"/>
    </row>
    <row r="37" spans="3:15" ht="15.75" customHeight="1">
      <c r="O37" s="20"/>
    </row>
    <row r="38" spans="3:15" ht="15.75" customHeight="1">
      <c r="O38" s="20"/>
    </row>
    <row r="39" spans="3:15" ht="15.75" customHeight="1">
      <c r="O39" s="20"/>
    </row>
    <row r="40" spans="3:15" ht="15.75" customHeight="1">
      <c r="O40" s="20"/>
    </row>
    <row r="41" spans="3:15" ht="15.75" customHeight="1">
      <c r="O41" s="20"/>
    </row>
    <row r="42" spans="3:15" ht="15.75" customHeight="1">
      <c r="O42" s="20"/>
    </row>
    <row r="43" spans="3:15" ht="15.75" customHeight="1">
      <c r="O43" s="20"/>
    </row>
    <row r="44" spans="3:15" ht="15.75" customHeight="1">
      <c r="O44" s="20"/>
    </row>
    <row r="45" spans="3:15" ht="15.75" customHeight="1">
      <c r="O45" s="20"/>
    </row>
    <row r="46" spans="3:15" ht="15.75" customHeight="1">
      <c r="O46" s="20"/>
    </row>
    <row r="47" spans="3:15" ht="15.75" customHeight="1">
      <c r="O47" s="20"/>
    </row>
    <row r="48" spans="3:15" ht="15.75" customHeight="1">
      <c r="O48" s="20"/>
    </row>
    <row r="49" spans="15:15" ht="15.75" customHeight="1">
      <c r="O49" s="20"/>
    </row>
    <row r="50" spans="15:15" ht="15.75" customHeight="1">
      <c r="O50" s="20"/>
    </row>
    <row r="51" spans="15:15" ht="15.75" customHeight="1">
      <c r="O51" s="20"/>
    </row>
    <row r="52" spans="15:15" ht="15.75" customHeight="1">
      <c r="O52" s="20"/>
    </row>
    <row r="53" spans="15:15" ht="15.75" customHeight="1">
      <c r="O53" s="20"/>
    </row>
    <row r="54" spans="15:15" ht="15.75" customHeight="1">
      <c r="O54" s="20"/>
    </row>
    <row r="55" spans="15:15" ht="15.75" customHeight="1">
      <c r="O55" s="20"/>
    </row>
    <row r="56" spans="15:15" ht="15.75" customHeight="1">
      <c r="O56" s="20"/>
    </row>
    <row r="57" spans="15:15" ht="15.75" customHeight="1">
      <c r="O57" s="20"/>
    </row>
    <row r="58" spans="15:15" ht="15.75" customHeight="1">
      <c r="O58" s="20"/>
    </row>
    <row r="59" spans="15:15" ht="15.75" customHeight="1">
      <c r="O59" s="20"/>
    </row>
    <row r="60" spans="15:15" ht="15.75" customHeight="1">
      <c r="O60" s="20"/>
    </row>
    <row r="61" spans="15:15" ht="15.75" customHeight="1">
      <c r="O61" s="20"/>
    </row>
    <row r="62" spans="15:15" ht="15.75" customHeight="1">
      <c r="O62" s="20"/>
    </row>
    <row r="63" spans="15:15" ht="15.75" customHeight="1">
      <c r="O63" s="20"/>
    </row>
    <row r="64" spans="15:15" ht="15.75" customHeight="1">
      <c r="O64" s="20"/>
    </row>
    <row r="65" spans="15:15" ht="15.75" customHeight="1">
      <c r="O65" s="20"/>
    </row>
    <row r="66" spans="15:15" ht="15.75" customHeight="1">
      <c r="O66" s="20"/>
    </row>
    <row r="67" spans="15:15" ht="15.75" customHeight="1">
      <c r="O67" s="20"/>
    </row>
    <row r="68" spans="15:15" ht="15.75" customHeight="1">
      <c r="O68" s="20"/>
    </row>
    <row r="69" spans="15:15" ht="15.75" customHeight="1">
      <c r="O69" s="20"/>
    </row>
    <row r="70" spans="15:15" ht="15.75" customHeight="1">
      <c r="O70" s="20"/>
    </row>
    <row r="71" spans="15:15" ht="15.75" customHeight="1">
      <c r="O71" s="20"/>
    </row>
    <row r="72" spans="15:15" ht="15.75" customHeight="1">
      <c r="O72" s="20"/>
    </row>
    <row r="73" spans="15:15" ht="15.75" customHeight="1">
      <c r="O73" s="20"/>
    </row>
    <row r="74" spans="15:15" ht="15.75" customHeight="1">
      <c r="O74" s="20"/>
    </row>
    <row r="75" spans="15:15" ht="15.75" customHeight="1">
      <c r="O75" s="20"/>
    </row>
    <row r="76" spans="15:15" ht="15.75" customHeight="1">
      <c r="O76" s="20"/>
    </row>
    <row r="77" spans="15:15" ht="15.75" customHeight="1">
      <c r="O77" s="20"/>
    </row>
    <row r="78" spans="15:15" ht="15.75" customHeight="1">
      <c r="O78" s="20"/>
    </row>
    <row r="79" spans="15:15" ht="15.75" customHeight="1">
      <c r="O79" s="20"/>
    </row>
    <row r="80" spans="15:15" ht="15.75" customHeight="1">
      <c r="O80" s="20"/>
    </row>
    <row r="81" spans="15:15" ht="15.75" customHeight="1">
      <c r="O81" s="20"/>
    </row>
    <row r="82" spans="15:15" ht="15.75" customHeight="1">
      <c r="O82" s="20"/>
    </row>
    <row r="83" spans="15:15" ht="15.75" customHeight="1">
      <c r="O83" s="20"/>
    </row>
    <row r="84" spans="15:15" ht="15.75" customHeight="1">
      <c r="O84" s="20"/>
    </row>
    <row r="85" spans="15:15" ht="15.75" customHeight="1">
      <c r="O85" s="20"/>
    </row>
    <row r="86" spans="15:15" ht="15.75" customHeight="1">
      <c r="O86" s="20"/>
    </row>
    <row r="87" spans="15:15" ht="15.75" customHeight="1">
      <c r="O87" s="20"/>
    </row>
    <row r="88" spans="15:15" ht="15.75" customHeight="1">
      <c r="O88" s="20"/>
    </row>
    <row r="89" spans="15:15" ht="15.75" customHeight="1">
      <c r="O89" s="20"/>
    </row>
    <row r="90" spans="15:15" ht="15.75" customHeight="1">
      <c r="O90" s="20"/>
    </row>
    <row r="91" spans="15:15" ht="15.75" customHeight="1">
      <c r="O91" s="20"/>
    </row>
    <row r="92" spans="15:15" ht="15.75" customHeight="1">
      <c r="O92" s="20"/>
    </row>
    <row r="93" spans="15:15" ht="15.75" customHeight="1">
      <c r="O93" s="20"/>
    </row>
    <row r="94" spans="15:15" ht="15.75" customHeight="1">
      <c r="O94" s="20"/>
    </row>
    <row r="95" spans="15:15" ht="15.75" customHeight="1">
      <c r="O95" s="20"/>
    </row>
    <row r="96" spans="15:15" ht="15.75" customHeight="1">
      <c r="O96" s="20"/>
    </row>
    <row r="97" spans="15:15" ht="15.75" customHeight="1">
      <c r="O97" s="20"/>
    </row>
    <row r="98" spans="15:15" ht="15.75" customHeight="1">
      <c r="O98" s="20"/>
    </row>
    <row r="99" spans="15:15" ht="15.75" customHeight="1">
      <c r="O99" s="20"/>
    </row>
    <row r="100" spans="15:15" ht="15.75" customHeight="1">
      <c r="O100" s="20"/>
    </row>
    <row r="101" spans="15:15" ht="15.75" customHeight="1">
      <c r="O101" s="20"/>
    </row>
    <row r="102" spans="15:15" ht="15.75" customHeight="1">
      <c r="O102" s="20"/>
    </row>
    <row r="103" spans="15:15" ht="15.75" customHeight="1">
      <c r="O103" s="20"/>
    </row>
    <row r="104" spans="15:15" ht="15.75" customHeight="1">
      <c r="O104" s="20"/>
    </row>
    <row r="105" spans="15:15" ht="15.75" customHeight="1">
      <c r="O105" s="20"/>
    </row>
    <row r="106" spans="15:15" ht="15.75" customHeight="1">
      <c r="O106" s="20"/>
    </row>
    <row r="107" spans="15:15" ht="15.75" customHeight="1">
      <c r="O107" s="20"/>
    </row>
    <row r="108" spans="15:15" ht="15.75" customHeight="1">
      <c r="O108" s="20"/>
    </row>
    <row r="109" spans="15:15" ht="15.75" customHeight="1">
      <c r="O109" s="20"/>
    </row>
    <row r="110" spans="15:15" ht="15.75" customHeight="1">
      <c r="O110" s="20"/>
    </row>
    <row r="111" spans="15:15" ht="15.75" customHeight="1">
      <c r="O111" s="20"/>
    </row>
    <row r="112" spans="15:15" ht="15.75" customHeight="1">
      <c r="O112" s="20"/>
    </row>
    <row r="113" spans="15:15" ht="15.75" customHeight="1">
      <c r="O113" s="20"/>
    </row>
    <row r="114" spans="15:15" ht="15.75" customHeight="1">
      <c r="O114" s="20"/>
    </row>
    <row r="115" spans="15:15" ht="15.75" customHeight="1">
      <c r="O115" s="20"/>
    </row>
    <row r="116" spans="15:15" ht="15.75" customHeight="1">
      <c r="O116" s="20"/>
    </row>
    <row r="117" spans="15:15" ht="15.75" customHeight="1">
      <c r="O117" s="20"/>
    </row>
    <row r="118" spans="15:15" ht="15.75" customHeight="1">
      <c r="O118" s="20"/>
    </row>
    <row r="119" spans="15:15" ht="15.75" customHeight="1">
      <c r="O119" s="20"/>
    </row>
    <row r="120" spans="15:15" ht="15.75" customHeight="1">
      <c r="O120" s="20"/>
    </row>
    <row r="121" spans="15:15" ht="15.75" customHeight="1">
      <c r="O121" s="20"/>
    </row>
    <row r="122" spans="15:15" ht="15.75" customHeight="1">
      <c r="O122" s="20"/>
    </row>
    <row r="123" spans="15:15" ht="15.75" customHeight="1">
      <c r="O123" s="20"/>
    </row>
    <row r="124" spans="15:15" ht="15.75" customHeight="1">
      <c r="O124" s="20"/>
    </row>
    <row r="125" spans="15:15" ht="15.75" customHeight="1">
      <c r="O125" s="20"/>
    </row>
    <row r="126" spans="15:15" ht="15.75" customHeight="1">
      <c r="O126" s="20"/>
    </row>
    <row r="127" spans="15:15" ht="15.75" customHeight="1">
      <c r="O127" s="20"/>
    </row>
    <row r="128" spans="15:15" ht="15.75" customHeight="1">
      <c r="O128" s="20"/>
    </row>
    <row r="129" spans="15:15" ht="15.75" customHeight="1">
      <c r="O129" s="20"/>
    </row>
    <row r="130" spans="15:15" ht="15.75" customHeight="1">
      <c r="O130" s="20"/>
    </row>
    <row r="131" spans="15:15" ht="15.75" customHeight="1">
      <c r="O131" s="20"/>
    </row>
    <row r="132" spans="15:15" ht="15.75" customHeight="1">
      <c r="O132" s="20"/>
    </row>
    <row r="133" spans="15:15" ht="15.75" customHeight="1">
      <c r="O133" s="20"/>
    </row>
    <row r="134" spans="15:15" ht="15.75" customHeight="1">
      <c r="O134" s="20"/>
    </row>
    <row r="135" spans="15:15" ht="15.75" customHeight="1">
      <c r="O135" s="20"/>
    </row>
    <row r="136" spans="15:15" ht="15.75" customHeight="1">
      <c r="O136" s="20"/>
    </row>
    <row r="137" spans="15:15" ht="15.75" customHeight="1">
      <c r="O137" s="20"/>
    </row>
    <row r="138" spans="15:15" ht="15.75" customHeight="1">
      <c r="O138" s="20"/>
    </row>
    <row r="139" spans="15:15" ht="15.75" customHeight="1">
      <c r="O139" s="20"/>
    </row>
    <row r="140" spans="15:15" ht="15.75" customHeight="1">
      <c r="O140" s="20"/>
    </row>
    <row r="141" spans="15:15" ht="15.75" customHeight="1">
      <c r="O141" s="20"/>
    </row>
    <row r="142" spans="15:15" ht="15.75" customHeight="1">
      <c r="O142" s="20"/>
    </row>
    <row r="143" spans="15:15" ht="15.75" customHeight="1">
      <c r="O143" s="20"/>
    </row>
    <row r="144" spans="15:15" ht="15.75" customHeight="1">
      <c r="O144" s="20"/>
    </row>
    <row r="145" spans="15:15" ht="15.75" customHeight="1">
      <c r="O145" s="20"/>
    </row>
    <row r="146" spans="15:15" ht="15.75" customHeight="1">
      <c r="O146" s="20"/>
    </row>
    <row r="147" spans="15:15" ht="15.75" customHeight="1">
      <c r="O147" s="20"/>
    </row>
    <row r="148" spans="15:15" ht="15.75" customHeight="1">
      <c r="O148" s="20"/>
    </row>
    <row r="149" spans="15:15" ht="15.75" customHeight="1">
      <c r="O149" s="20"/>
    </row>
    <row r="150" spans="15:15" ht="15.75" customHeight="1">
      <c r="O150" s="20"/>
    </row>
    <row r="151" spans="15:15" ht="15.75" customHeight="1">
      <c r="O151" s="20"/>
    </row>
    <row r="152" spans="15:15" ht="15.75" customHeight="1">
      <c r="O152" s="20"/>
    </row>
    <row r="153" spans="15:15" ht="15.75" customHeight="1">
      <c r="O153" s="20"/>
    </row>
    <row r="154" spans="15:15" ht="15.75" customHeight="1">
      <c r="O154" s="20"/>
    </row>
    <row r="155" spans="15:15" ht="15.75" customHeight="1">
      <c r="O155" s="20"/>
    </row>
    <row r="156" spans="15:15" ht="15.75" customHeight="1">
      <c r="O156" s="20"/>
    </row>
    <row r="157" spans="15:15" ht="15.75" customHeight="1">
      <c r="O157" s="20"/>
    </row>
    <row r="158" spans="15:15" ht="15.75" customHeight="1">
      <c r="O158" s="20"/>
    </row>
    <row r="159" spans="15:15" ht="15.75" customHeight="1">
      <c r="O159" s="20"/>
    </row>
    <row r="160" spans="15:15" ht="15.75" customHeight="1">
      <c r="O160" s="20"/>
    </row>
    <row r="161" spans="15:15" ht="15.75" customHeight="1">
      <c r="O161" s="20"/>
    </row>
    <row r="162" spans="15:15" ht="15.75" customHeight="1">
      <c r="O162" s="20"/>
    </row>
    <row r="163" spans="15:15" ht="15.75" customHeight="1">
      <c r="O163" s="20"/>
    </row>
    <row r="164" spans="15:15" ht="15.75" customHeight="1">
      <c r="O164" s="20"/>
    </row>
    <row r="165" spans="15:15" ht="15.75" customHeight="1">
      <c r="O165" s="20"/>
    </row>
    <row r="166" spans="15:15" ht="15.75" customHeight="1">
      <c r="O166" s="20"/>
    </row>
    <row r="167" spans="15:15" ht="15.75" customHeight="1">
      <c r="O167" s="20"/>
    </row>
    <row r="168" spans="15:15" ht="15.75" customHeight="1">
      <c r="O168" s="20"/>
    </row>
    <row r="169" spans="15:15" ht="15.75" customHeight="1">
      <c r="O169" s="20"/>
    </row>
    <row r="170" spans="15:15" ht="15.75" customHeight="1">
      <c r="O170" s="20"/>
    </row>
    <row r="171" spans="15:15" ht="15.75" customHeight="1">
      <c r="O171" s="20"/>
    </row>
    <row r="172" spans="15:15" ht="15.75" customHeight="1">
      <c r="O172" s="20"/>
    </row>
    <row r="173" spans="15:15" ht="15.75" customHeight="1">
      <c r="O173" s="20"/>
    </row>
    <row r="174" spans="15:15" ht="15.75" customHeight="1">
      <c r="O174" s="20"/>
    </row>
    <row r="175" spans="15:15" ht="15.75" customHeight="1">
      <c r="O175" s="20"/>
    </row>
    <row r="176" spans="15:15" ht="15.75" customHeight="1">
      <c r="O176" s="20"/>
    </row>
    <row r="177" spans="15:15" ht="15.75" customHeight="1">
      <c r="O177" s="20"/>
    </row>
    <row r="178" spans="15:15" ht="15.75" customHeight="1">
      <c r="O178" s="20"/>
    </row>
    <row r="179" spans="15:15" ht="15.75" customHeight="1">
      <c r="O179" s="20"/>
    </row>
    <row r="180" spans="15:15" ht="15.75" customHeight="1">
      <c r="O180" s="20"/>
    </row>
    <row r="181" spans="15:15" ht="15.75" customHeight="1">
      <c r="O181" s="20"/>
    </row>
    <row r="182" spans="15:15" ht="15.75" customHeight="1">
      <c r="O182" s="20"/>
    </row>
    <row r="183" spans="15:15" ht="15.75" customHeight="1">
      <c r="O183" s="20"/>
    </row>
    <row r="184" spans="15:15" ht="15.75" customHeight="1">
      <c r="O184" s="20"/>
    </row>
    <row r="185" spans="15:15" ht="15.75" customHeight="1">
      <c r="O185" s="20"/>
    </row>
    <row r="186" spans="15:15" ht="15.75" customHeight="1">
      <c r="O186" s="20"/>
    </row>
    <row r="187" spans="15:15" ht="15.75" customHeight="1">
      <c r="O187" s="20"/>
    </row>
    <row r="188" spans="15:15" ht="15.75" customHeight="1">
      <c r="O188" s="20"/>
    </row>
    <row r="189" spans="15:15" ht="15.75" customHeight="1">
      <c r="O189" s="20"/>
    </row>
    <row r="190" spans="15:15" ht="15.75" customHeight="1">
      <c r="O190" s="20"/>
    </row>
    <row r="191" spans="15:15" ht="15.75" customHeight="1">
      <c r="O191" s="20"/>
    </row>
    <row r="192" spans="15:15" ht="15.75" customHeight="1">
      <c r="O192" s="20"/>
    </row>
    <row r="193" spans="15:15" ht="15.75" customHeight="1">
      <c r="O193" s="20"/>
    </row>
    <row r="194" spans="15:15" ht="15.75" customHeight="1">
      <c r="O194" s="20"/>
    </row>
    <row r="195" spans="15:15" ht="15.75" customHeight="1">
      <c r="O195" s="20"/>
    </row>
    <row r="196" spans="15:15" ht="15.75" customHeight="1">
      <c r="O196" s="20"/>
    </row>
    <row r="197" spans="15:15" ht="15.75" customHeight="1">
      <c r="O197" s="20"/>
    </row>
    <row r="198" spans="15:15" ht="15.75" customHeight="1">
      <c r="O198" s="20"/>
    </row>
    <row r="199" spans="15:15" ht="15.75" customHeight="1">
      <c r="O199" s="20"/>
    </row>
    <row r="200" spans="15:15" ht="15.75" customHeight="1">
      <c r="O200" s="20"/>
    </row>
    <row r="201" spans="15:15" ht="15.75" customHeight="1">
      <c r="O201" s="20"/>
    </row>
    <row r="202" spans="15:15" ht="15.75" customHeight="1">
      <c r="O202" s="20"/>
    </row>
    <row r="203" spans="15:15" ht="15.75" customHeight="1">
      <c r="O203" s="20"/>
    </row>
    <row r="204" spans="15:15" ht="15.75" customHeight="1">
      <c r="O204" s="20"/>
    </row>
    <row r="205" spans="15:15" ht="15.75" customHeight="1">
      <c r="O205" s="20"/>
    </row>
    <row r="206" spans="15:15" ht="15.75" customHeight="1">
      <c r="O206" s="20"/>
    </row>
    <row r="207" spans="15:15" ht="15.75" customHeight="1">
      <c r="O207" s="20"/>
    </row>
    <row r="208" spans="15:15" ht="15.75" customHeight="1">
      <c r="O208" s="20"/>
    </row>
    <row r="209" spans="15:15" ht="15.75" customHeight="1">
      <c r="O209" s="20"/>
    </row>
    <row r="210" spans="15:15" ht="15.75" customHeight="1">
      <c r="O210" s="20"/>
    </row>
    <row r="211" spans="15:15" ht="15.75" customHeight="1">
      <c r="O211" s="20"/>
    </row>
    <row r="212" spans="15:15" ht="15.75" customHeight="1">
      <c r="O212" s="20"/>
    </row>
    <row r="213" spans="15:15" ht="15.75" customHeight="1">
      <c r="O213" s="20"/>
    </row>
    <row r="214" spans="15:15" ht="15.75" customHeight="1">
      <c r="O214" s="20"/>
    </row>
    <row r="215" spans="15:15" ht="15.75" customHeight="1">
      <c r="O215" s="20"/>
    </row>
    <row r="216" spans="15:15" ht="15.75" customHeight="1">
      <c r="O216" s="20"/>
    </row>
    <row r="217" spans="15:15" ht="15.75" customHeight="1">
      <c r="O217" s="20"/>
    </row>
    <row r="218" spans="15:15" ht="15.75" customHeight="1">
      <c r="O218" s="20"/>
    </row>
    <row r="219" spans="15:15" ht="15.75" customHeight="1">
      <c r="O219" s="20"/>
    </row>
    <row r="220" spans="15:15" ht="15.75" customHeight="1">
      <c r="O220" s="20"/>
    </row>
    <row r="221" spans="15:15" ht="15.75" customHeight="1">
      <c r="O221" s="20"/>
    </row>
    <row r="222" spans="15:15" ht="15.75" customHeight="1">
      <c r="O222" s="20"/>
    </row>
    <row r="223" spans="15:15" ht="15.75" customHeight="1">
      <c r="O223" s="20"/>
    </row>
    <row r="224" spans="15:15" ht="15.75" customHeight="1">
      <c r="O224" s="20"/>
    </row>
    <row r="225" spans="15:15" ht="15.75" customHeight="1">
      <c r="O225" s="20"/>
    </row>
    <row r="226" spans="15:15" ht="15.75" customHeight="1">
      <c r="O226" s="20"/>
    </row>
    <row r="227" spans="15:15" ht="15.75" customHeight="1">
      <c r="O227" s="20"/>
    </row>
    <row r="228" spans="15:15" ht="15.75" customHeight="1">
      <c r="O228" s="20"/>
    </row>
    <row r="229" spans="15:15" ht="15.75" customHeight="1">
      <c r="O229" s="20"/>
    </row>
    <row r="230" spans="15:15" ht="15.75" customHeight="1">
      <c r="O230" s="20"/>
    </row>
    <row r="231" spans="15:15" ht="15.75" customHeight="1">
      <c r="O231" s="20"/>
    </row>
    <row r="232" spans="15:15" ht="15.75" customHeight="1">
      <c r="O232" s="20"/>
    </row>
    <row r="233" spans="15:15" ht="15.75" customHeight="1">
      <c r="O233" s="20"/>
    </row>
    <row r="234" spans="15:15" ht="15.75" customHeight="1">
      <c r="O234" s="20"/>
    </row>
    <row r="235" spans="15:15" ht="15.75" customHeight="1">
      <c r="O235" s="20"/>
    </row>
    <row r="236" spans="15:15" ht="15.75" customHeight="1">
      <c r="O236" s="20"/>
    </row>
    <row r="237" spans="15:15" ht="15.75" customHeight="1">
      <c r="O237" s="20"/>
    </row>
    <row r="238" spans="15:15" ht="15.75" customHeight="1">
      <c r="O238" s="20"/>
    </row>
    <row r="239" spans="15:15" ht="15.75" customHeight="1">
      <c r="O239" s="20"/>
    </row>
    <row r="240" spans="15:15" ht="15.75" customHeight="1">
      <c r="O240" s="20"/>
    </row>
    <row r="241" spans="15:15" ht="15.75" customHeight="1">
      <c r="O241" s="20"/>
    </row>
    <row r="242" spans="15:15" ht="15.75" customHeight="1">
      <c r="O242" s="20"/>
    </row>
    <row r="243" spans="15:15" ht="15.75" customHeight="1">
      <c r="O243" s="20"/>
    </row>
    <row r="244" spans="15:15" ht="15.75" customHeight="1">
      <c r="O244" s="20"/>
    </row>
    <row r="245" spans="15:15" ht="15.75" customHeight="1">
      <c r="O245" s="20"/>
    </row>
    <row r="246" spans="15:15" ht="15.75" customHeight="1">
      <c r="O246" s="20"/>
    </row>
    <row r="247" spans="15:15" ht="15.75" customHeight="1">
      <c r="O247" s="20"/>
    </row>
    <row r="248" spans="15:15" ht="15.75" customHeight="1">
      <c r="O248" s="20"/>
    </row>
    <row r="249" spans="15:15" ht="15.75" customHeight="1">
      <c r="O249" s="20"/>
    </row>
    <row r="250" spans="15:15" ht="15.75" customHeight="1">
      <c r="O250" s="20"/>
    </row>
    <row r="251" spans="15:15" ht="15.75" customHeight="1">
      <c r="O251" s="20"/>
    </row>
    <row r="252" spans="15:15" ht="15.75" customHeight="1">
      <c r="O252" s="20"/>
    </row>
    <row r="253" spans="15:15" ht="15.75" customHeight="1">
      <c r="O253" s="20"/>
    </row>
    <row r="254" spans="15:15" ht="15.75" customHeight="1">
      <c r="O254" s="20"/>
    </row>
    <row r="255" spans="15:15" ht="15.75" customHeight="1">
      <c r="O255" s="20"/>
    </row>
    <row r="256" spans="15:15" ht="15.75" customHeight="1">
      <c r="O256" s="20"/>
    </row>
    <row r="257" spans="15:15" ht="15.75" customHeight="1">
      <c r="O257" s="20"/>
    </row>
    <row r="258" spans="15:15" ht="15.75" customHeight="1">
      <c r="O258" s="20"/>
    </row>
    <row r="259" spans="15:15" ht="15.75" customHeight="1">
      <c r="O259" s="20"/>
    </row>
    <row r="260" spans="15:15" ht="15.75" customHeight="1">
      <c r="O260" s="20"/>
    </row>
    <row r="261" spans="15:15" ht="15.75" customHeight="1">
      <c r="O261" s="20"/>
    </row>
    <row r="262" spans="15:15" ht="15.75" customHeight="1">
      <c r="O262" s="20"/>
    </row>
    <row r="263" spans="15:15" ht="15.75" customHeight="1">
      <c r="O263" s="20"/>
    </row>
    <row r="264" spans="15:15" ht="15.75" customHeight="1">
      <c r="O264" s="20"/>
    </row>
    <row r="265" spans="15:15" ht="15.75" customHeight="1">
      <c r="O265" s="20"/>
    </row>
    <row r="266" spans="15:15" ht="15.75" customHeight="1">
      <c r="O266" s="20"/>
    </row>
    <row r="267" spans="15:15" ht="15.75" customHeight="1">
      <c r="O267" s="20"/>
    </row>
    <row r="268" spans="15:15" ht="15.75" customHeight="1">
      <c r="O268" s="20"/>
    </row>
    <row r="269" spans="15:15" ht="15.75" customHeight="1">
      <c r="O269" s="20"/>
    </row>
    <row r="270" spans="15:15" ht="15.75" customHeight="1">
      <c r="O270" s="20"/>
    </row>
    <row r="271" spans="15:15" ht="15.75" customHeight="1">
      <c r="O271" s="20"/>
    </row>
    <row r="272" spans="15:15" ht="15.75" customHeight="1">
      <c r="O272" s="20"/>
    </row>
    <row r="273" spans="15:15" ht="15.75" customHeight="1">
      <c r="O273" s="20"/>
    </row>
    <row r="274" spans="15:15" ht="15.75" customHeight="1">
      <c r="O274" s="20"/>
    </row>
    <row r="275" spans="15:15" ht="15.75" customHeight="1">
      <c r="O275" s="20"/>
    </row>
    <row r="276" spans="15:15" ht="15.75" customHeight="1">
      <c r="O276" s="20"/>
    </row>
    <row r="277" spans="15:15" ht="15.75" customHeight="1">
      <c r="O277" s="20"/>
    </row>
    <row r="278" spans="15:15" ht="15.75" customHeight="1">
      <c r="O278" s="20"/>
    </row>
    <row r="279" spans="15:15" ht="15.75" customHeight="1">
      <c r="O279" s="20"/>
    </row>
    <row r="280" spans="15:15" ht="15.75" customHeight="1">
      <c r="O280" s="20"/>
    </row>
    <row r="281" spans="15:15" ht="15.75" customHeight="1">
      <c r="O281" s="20"/>
    </row>
    <row r="282" spans="15:15" ht="15.75" customHeight="1">
      <c r="O282" s="20"/>
    </row>
    <row r="283" spans="15:15" ht="15.75" customHeight="1">
      <c r="O283" s="20"/>
    </row>
    <row r="284" spans="15:15" ht="15.75" customHeight="1">
      <c r="O284" s="20"/>
    </row>
    <row r="285" spans="15:15" ht="15.75" customHeight="1">
      <c r="O285" s="20"/>
    </row>
    <row r="286" spans="15:15" ht="15.75" customHeight="1">
      <c r="O286" s="20"/>
    </row>
    <row r="287" spans="15:15" ht="15.75" customHeight="1">
      <c r="O287" s="20"/>
    </row>
    <row r="288" spans="15:15" ht="15.75" customHeight="1">
      <c r="O288" s="20"/>
    </row>
    <row r="289" spans="15:15" ht="15.75" customHeight="1">
      <c r="O289" s="20"/>
    </row>
    <row r="290" spans="15:15" ht="15.75" customHeight="1">
      <c r="O290" s="20"/>
    </row>
    <row r="291" spans="15:15" ht="15.75" customHeight="1">
      <c r="O291" s="20"/>
    </row>
    <row r="292" spans="15:15" ht="15.75" customHeight="1">
      <c r="O292" s="20"/>
    </row>
    <row r="293" spans="15:15" ht="15.75" customHeight="1">
      <c r="O293" s="20"/>
    </row>
    <row r="294" spans="15:15" ht="15.75" customHeight="1">
      <c r="O294" s="20"/>
    </row>
    <row r="295" spans="15:15" ht="15.75" customHeight="1">
      <c r="O295" s="20"/>
    </row>
    <row r="296" spans="15:15" ht="15.75" customHeight="1">
      <c r="O296" s="20"/>
    </row>
    <row r="297" spans="15:15" ht="15.75" customHeight="1">
      <c r="O297" s="20"/>
    </row>
    <row r="298" spans="15:15" ht="15.75" customHeight="1">
      <c r="O298" s="20"/>
    </row>
    <row r="299" spans="15:15" ht="15.75" customHeight="1">
      <c r="O299" s="20"/>
    </row>
    <row r="300" spans="15:15" ht="15.75" customHeight="1">
      <c r="O300" s="20"/>
    </row>
    <row r="301" spans="15:15" ht="15.75" customHeight="1">
      <c r="O301" s="20"/>
    </row>
    <row r="302" spans="15:15" ht="15.75" customHeight="1">
      <c r="O302" s="20"/>
    </row>
    <row r="303" spans="15:15" ht="15.75" customHeight="1">
      <c r="O303" s="20"/>
    </row>
    <row r="304" spans="15:15" ht="15.75" customHeight="1">
      <c r="O304" s="20"/>
    </row>
    <row r="305" spans="15:15" ht="15.75" customHeight="1">
      <c r="O305" s="20"/>
    </row>
    <row r="306" spans="15:15" ht="15.75" customHeight="1">
      <c r="O306" s="20"/>
    </row>
    <row r="307" spans="15:15" ht="15.75" customHeight="1">
      <c r="O307" s="20"/>
    </row>
    <row r="308" spans="15:15" ht="15.75" customHeight="1">
      <c r="O308" s="20"/>
    </row>
    <row r="309" spans="15:15" ht="15.75" customHeight="1">
      <c r="O309" s="20"/>
    </row>
    <row r="310" spans="15:15" ht="15.75" customHeight="1">
      <c r="O310" s="20"/>
    </row>
    <row r="311" spans="15:15" ht="15.75" customHeight="1">
      <c r="O311" s="20"/>
    </row>
    <row r="312" spans="15:15" ht="15.75" customHeight="1">
      <c r="O312" s="20"/>
    </row>
    <row r="313" spans="15:15" ht="15.75" customHeight="1">
      <c r="O313" s="20"/>
    </row>
    <row r="314" spans="15:15" ht="15.75" customHeight="1">
      <c r="O314" s="20"/>
    </row>
    <row r="315" spans="15:15" ht="15.75" customHeight="1">
      <c r="O315" s="20"/>
    </row>
    <row r="316" spans="15:15" ht="15.75" customHeight="1">
      <c r="O316" s="20"/>
    </row>
    <row r="317" spans="15:15" ht="15.75" customHeight="1">
      <c r="O317" s="20"/>
    </row>
    <row r="318" spans="15:15" ht="15.75" customHeight="1">
      <c r="O318" s="20"/>
    </row>
    <row r="319" spans="15:15" ht="15.75" customHeight="1">
      <c r="O319" s="20"/>
    </row>
    <row r="320" spans="15:15" ht="15.75" customHeight="1">
      <c r="O320" s="20"/>
    </row>
    <row r="321" spans="15:15" ht="15.75" customHeight="1">
      <c r="O321" s="20"/>
    </row>
    <row r="322" spans="15:15" ht="15.75" customHeight="1">
      <c r="O322" s="20"/>
    </row>
    <row r="323" spans="15:15" ht="15.75" customHeight="1">
      <c r="O323" s="20"/>
    </row>
    <row r="324" spans="15:15" ht="15.75" customHeight="1">
      <c r="O324" s="20"/>
    </row>
    <row r="325" spans="15:15" ht="15.75" customHeight="1">
      <c r="O325" s="20"/>
    </row>
    <row r="326" spans="15:15" ht="15.75" customHeight="1">
      <c r="O326" s="20"/>
    </row>
    <row r="327" spans="15:15" ht="15.75" customHeight="1">
      <c r="O327" s="20"/>
    </row>
    <row r="328" spans="15:15" ht="15.75" customHeight="1">
      <c r="O328" s="20"/>
    </row>
    <row r="329" spans="15:15" ht="15.75" customHeight="1">
      <c r="O329" s="20"/>
    </row>
    <row r="330" spans="15:15" ht="15.75" customHeight="1">
      <c r="O330" s="20"/>
    </row>
    <row r="331" spans="15:15" ht="15.75" customHeight="1">
      <c r="O331" s="20"/>
    </row>
    <row r="332" spans="15:15" ht="15.75" customHeight="1">
      <c r="O332" s="20"/>
    </row>
    <row r="333" spans="15:15" ht="15.75" customHeight="1">
      <c r="O333" s="20"/>
    </row>
    <row r="334" spans="15:15" ht="15.75" customHeight="1">
      <c r="O334" s="20"/>
    </row>
    <row r="335" spans="15:15" ht="15.75" customHeight="1">
      <c r="O335" s="20"/>
    </row>
    <row r="336" spans="15:15" ht="15.75" customHeight="1">
      <c r="O336" s="20"/>
    </row>
    <row r="337" spans="15:15" ht="15.75" customHeight="1">
      <c r="O337" s="20"/>
    </row>
    <row r="338" spans="15:15" ht="15.75" customHeight="1">
      <c r="O338" s="20"/>
    </row>
    <row r="339" spans="15:15" ht="15.75" customHeight="1">
      <c r="O339" s="20"/>
    </row>
    <row r="340" spans="15:15" ht="15.75" customHeight="1">
      <c r="O340" s="20"/>
    </row>
    <row r="341" spans="15:15" ht="15.75" customHeight="1">
      <c r="O341" s="20"/>
    </row>
    <row r="342" spans="15:15" ht="15.75" customHeight="1">
      <c r="O342" s="20"/>
    </row>
    <row r="343" spans="15:15" ht="15.75" customHeight="1">
      <c r="O343" s="20"/>
    </row>
    <row r="344" spans="15:15" ht="15.75" customHeight="1">
      <c r="O344" s="20"/>
    </row>
    <row r="345" spans="15:15" ht="15.75" customHeight="1">
      <c r="O345" s="20"/>
    </row>
    <row r="346" spans="15:15" ht="15.75" customHeight="1">
      <c r="O346" s="20"/>
    </row>
    <row r="347" spans="15:15" ht="15.75" customHeight="1">
      <c r="O347" s="20"/>
    </row>
    <row r="348" spans="15:15" ht="15.75" customHeight="1">
      <c r="O348" s="20"/>
    </row>
    <row r="349" spans="15:15" ht="15.75" customHeight="1">
      <c r="O349" s="20"/>
    </row>
    <row r="350" spans="15:15" ht="15.75" customHeight="1">
      <c r="O350" s="20"/>
    </row>
    <row r="351" spans="15:15" ht="15.75" customHeight="1">
      <c r="O351" s="20"/>
    </row>
    <row r="352" spans="15:15" ht="15.75" customHeight="1">
      <c r="O352" s="20"/>
    </row>
    <row r="353" spans="15:15" ht="15.75" customHeight="1">
      <c r="O353" s="20"/>
    </row>
    <row r="354" spans="15:15" ht="15.75" customHeight="1">
      <c r="O354" s="20"/>
    </row>
    <row r="355" spans="15:15" ht="15.75" customHeight="1">
      <c r="O355" s="20"/>
    </row>
    <row r="356" spans="15:15" ht="15.75" customHeight="1">
      <c r="O356" s="20"/>
    </row>
    <row r="357" spans="15:15" ht="15.75" customHeight="1">
      <c r="O357" s="20"/>
    </row>
    <row r="358" spans="15:15" ht="15.75" customHeight="1">
      <c r="O358" s="20"/>
    </row>
    <row r="359" spans="15:15" ht="15.75" customHeight="1">
      <c r="O359" s="20"/>
    </row>
    <row r="360" spans="15:15" ht="15.75" customHeight="1">
      <c r="O360" s="20"/>
    </row>
    <row r="361" spans="15:15" ht="15.75" customHeight="1">
      <c r="O361" s="20"/>
    </row>
    <row r="362" spans="15:15" ht="15.75" customHeight="1">
      <c r="O362" s="20"/>
    </row>
    <row r="363" spans="15:15" ht="15.75" customHeight="1">
      <c r="O363" s="20"/>
    </row>
    <row r="364" spans="15:15" ht="15.75" customHeight="1">
      <c r="O364" s="20"/>
    </row>
    <row r="365" spans="15:15" ht="15.75" customHeight="1">
      <c r="O365" s="20"/>
    </row>
    <row r="366" spans="15:15" ht="15.75" customHeight="1">
      <c r="O366" s="20"/>
    </row>
    <row r="367" spans="15:15" ht="15.75" customHeight="1">
      <c r="O367" s="20"/>
    </row>
    <row r="368" spans="15:15" ht="15.75" customHeight="1">
      <c r="O368" s="20"/>
    </row>
    <row r="369" spans="15:15" ht="15.75" customHeight="1">
      <c r="O369" s="20"/>
    </row>
    <row r="370" spans="15:15" ht="15.75" customHeight="1">
      <c r="O370" s="20"/>
    </row>
    <row r="371" spans="15:15" ht="15.75" customHeight="1">
      <c r="O371" s="20"/>
    </row>
    <row r="372" spans="15:15" ht="15.75" customHeight="1">
      <c r="O372" s="20"/>
    </row>
    <row r="373" spans="15:15" ht="15.75" customHeight="1">
      <c r="O373" s="20"/>
    </row>
    <row r="374" spans="15:15" ht="15.75" customHeight="1">
      <c r="O374" s="20"/>
    </row>
    <row r="375" spans="15:15" ht="15.75" customHeight="1">
      <c r="O375" s="20"/>
    </row>
    <row r="376" spans="15:15" ht="15.75" customHeight="1">
      <c r="O376" s="20"/>
    </row>
    <row r="377" spans="15:15" ht="15.75" customHeight="1">
      <c r="O377" s="20"/>
    </row>
    <row r="378" spans="15:15" ht="15.75" customHeight="1">
      <c r="O378" s="20"/>
    </row>
    <row r="379" spans="15:15" ht="15.75" customHeight="1">
      <c r="O379" s="20"/>
    </row>
    <row r="380" spans="15:15" ht="15.75" customHeight="1">
      <c r="O380" s="20"/>
    </row>
    <row r="381" spans="15:15" ht="15.75" customHeight="1">
      <c r="O381" s="20"/>
    </row>
    <row r="382" spans="15:15" ht="15.75" customHeight="1">
      <c r="O382" s="20"/>
    </row>
    <row r="383" spans="15:15" ht="15.75" customHeight="1">
      <c r="O383" s="20"/>
    </row>
    <row r="384" spans="15:15" ht="15.75" customHeight="1">
      <c r="O384" s="20"/>
    </row>
    <row r="385" spans="15:15" ht="15.75" customHeight="1">
      <c r="O385" s="20"/>
    </row>
    <row r="386" spans="15:15" ht="15.75" customHeight="1">
      <c r="O386" s="20"/>
    </row>
    <row r="387" spans="15:15" ht="15.75" customHeight="1">
      <c r="O387" s="20"/>
    </row>
    <row r="388" spans="15:15" ht="15.75" customHeight="1">
      <c r="O388" s="20"/>
    </row>
    <row r="389" spans="15:15" ht="15.75" customHeight="1">
      <c r="O389" s="20"/>
    </row>
    <row r="390" spans="15:15" ht="15.75" customHeight="1">
      <c r="O390" s="20"/>
    </row>
    <row r="391" spans="15:15" ht="15.75" customHeight="1">
      <c r="O391" s="20"/>
    </row>
    <row r="392" spans="15:15" ht="15.75" customHeight="1">
      <c r="O392" s="20"/>
    </row>
    <row r="393" spans="15:15" ht="15.75" customHeight="1">
      <c r="O393" s="20"/>
    </row>
    <row r="394" spans="15:15" ht="15.75" customHeight="1">
      <c r="O394" s="20"/>
    </row>
    <row r="395" spans="15:15" ht="15.75" customHeight="1">
      <c r="O395" s="20"/>
    </row>
    <row r="396" spans="15:15" ht="15.75" customHeight="1">
      <c r="O396" s="20"/>
    </row>
    <row r="397" spans="15:15" ht="15.75" customHeight="1">
      <c r="O397" s="20"/>
    </row>
    <row r="398" spans="15:15" ht="15.75" customHeight="1">
      <c r="O398" s="20"/>
    </row>
    <row r="399" spans="15:15" ht="15.75" customHeight="1">
      <c r="O399" s="20"/>
    </row>
    <row r="400" spans="15:15" ht="15.75" customHeight="1">
      <c r="O400" s="20"/>
    </row>
    <row r="401" spans="15:15" ht="15.75" customHeight="1">
      <c r="O401" s="20"/>
    </row>
    <row r="402" spans="15:15" ht="15.75" customHeight="1">
      <c r="O402" s="20"/>
    </row>
    <row r="403" spans="15:15" ht="15.75" customHeight="1">
      <c r="O403" s="20"/>
    </row>
    <row r="404" spans="15:15" ht="15.75" customHeight="1">
      <c r="O404" s="20"/>
    </row>
    <row r="405" spans="15:15" ht="15.75" customHeight="1">
      <c r="O405" s="20"/>
    </row>
    <row r="406" spans="15:15" ht="15.75" customHeight="1">
      <c r="O406" s="20"/>
    </row>
    <row r="407" spans="15:15" ht="15.75" customHeight="1">
      <c r="O407" s="20"/>
    </row>
    <row r="408" spans="15:15" ht="15.75" customHeight="1">
      <c r="O408" s="20"/>
    </row>
    <row r="409" spans="15:15" ht="15.75" customHeight="1">
      <c r="O409" s="20"/>
    </row>
    <row r="410" spans="15:15" ht="15.75" customHeight="1">
      <c r="O410" s="20"/>
    </row>
    <row r="411" spans="15:15" ht="15.75" customHeight="1">
      <c r="O411" s="20"/>
    </row>
    <row r="412" spans="15:15" ht="15.75" customHeight="1">
      <c r="O412" s="20"/>
    </row>
    <row r="413" spans="15:15" ht="15.75" customHeight="1">
      <c r="O413" s="20"/>
    </row>
    <row r="414" spans="15:15" ht="15.75" customHeight="1">
      <c r="O414" s="20"/>
    </row>
    <row r="415" spans="15:15" ht="15.75" customHeight="1">
      <c r="O415" s="20"/>
    </row>
    <row r="416" spans="15:15" ht="15.75" customHeight="1">
      <c r="O416" s="20"/>
    </row>
    <row r="417" spans="15:15" ht="15.75" customHeight="1">
      <c r="O417" s="20"/>
    </row>
    <row r="418" spans="15:15" ht="15.75" customHeight="1">
      <c r="O418" s="20"/>
    </row>
    <row r="419" spans="15:15" ht="15.75" customHeight="1">
      <c r="O419" s="20"/>
    </row>
    <row r="420" spans="15:15" ht="15.75" customHeight="1">
      <c r="O420" s="20"/>
    </row>
    <row r="421" spans="15:15" ht="15.75" customHeight="1">
      <c r="O421" s="20"/>
    </row>
    <row r="422" spans="15:15" ht="15.75" customHeight="1">
      <c r="O422" s="20"/>
    </row>
    <row r="423" spans="15:15" ht="15.75" customHeight="1">
      <c r="O423" s="20"/>
    </row>
    <row r="424" spans="15:15" ht="15.75" customHeight="1">
      <c r="O424" s="20"/>
    </row>
    <row r="425" spans="15:15" ht="15.75" customHeight="1">
      <c r="O425" s="20"/>
    </row>
    <row r="426" spans="15:15" ht="15.75" customHeight="1">
      <c r="O426" s="20"/>
    </row>
    <row r="427" spans="15:15" ht="15.75" customHeight="1">
      <c r="O427" s="20"/>
    </row>
    <row r="428" spans="15:15" ht="15.75" customHeight="1">
      <c r="O428" s="20"/>
    </row>
    <row r="429" spans="15:15" ht="15.75" customHeight="1">
      <c r="O429" s="20"/>
    </row>
    <row r="430" spans="15:15" ht="15.75" customHeight="1">
      <c r="O430" s="20"/>
    </row>
    <row r="431" spans="15:15" ht="15.75" customHeight="1">
      <c r="O431" s="20"/>
    </row>
    <row r="432" spans="15:15" ht="15.75" customHeight="1">
      <c r="O432" s="20"/>
    </row>
    <row r="433" spans="15:15" ht="15.75" customHeight="1">
      <c r="O433" s="20"/>
    </row>
    <row r="434" spans="15:15" ht="15.75" customHeight="1">
      <c r="O434" s="20"/>
    </row>
    <row r="435" spans="15:15" ht="15.75" customHeight="1">
      <c r="O435" s="20"/>
    </row>
    <row r="436" spans="15:15" ht="15.75" customHeight="1">
      <c r="O436" s="20"/>
    </row>
    <row r="437" spans="15:15" ht="15.75" customHeight="1">
      <c r="O437" s="20"/>
    </row>
    <row r="438" spans="15:15" ht="15.75" customHeight="1">
      <c r="O438" s="20"/>
    </row>
    <row r="439" spans="15:15" ht="15.75" customHeight="1">
      <c r="O439" s="20"/>
    </row>
    <row r="440" spans="15:15" ht="15.75" customHeight="1">
      <c r="O440" s="20"/>
    </row>
    <row r="441" spans="15:15" ht="15.75" customHeight="1">
      <c r="O441" s="20"/>
    </row>
    <row r="442" spans="15:15" ht="15.75" customHeight="1">
      <c r="O442" s="20"/>
    </row>
    <row r="443" spans="15:15" ht="15.75" customHeight="1">
      <c r="O443" s="20"/>
    </row>
    <row r="444" spans="15:15" ht="15.75" customHeight="1">
      <c r="O444" s="20"/>
    </row>
    <row r="445" spans="15:15" ht="15.75" customHeight="1">
      <c r="O445" s="20"/>
    </row>
    <row r="446" spans="15:15" ht="15.75" customHeight="1">
      <c r="O446" s="20"/>
    </row>
    <row r="447" spans="15:15" ht="15.75" customHeight="1">
      <c r="O447" s="20"/>
    </row>
    <row r="448" spans="15:15" ht="15.75" customHeight="1">
      <c r="O448" s="20"/>
    </row>
    <row r="449" spans="15:15" ht="15.75" customHeight="1">
      <c r="O449" s="20"/>
    </row>
    <row r="450" spans="15:15" ht="15.75" customHeight="1">
      <c r="O450" s="20"/>
    </row>
    <row r="451" spans="15:15" ht="15.75" customHeight="1">
      <c r="O451" s="20"/>
    </row>
    <row r="452" spans="15:15" ht="15.75" customHeight="1">
      <c r="O452" s="20"/>
    </row>
    <row r="453" spans="15:15" ht="15.75" customHeight="1">
      <c r="O453" s="20"/>
    </row>
    <row r="454" spans="15:15" ht="15.75" customHeight="1">
      <c r="O454" s="20"/>
    </row>
    <row r="455" spans="15:15" ht="15.75" customHeight="1">
      <c r="O455" s="20"/>
    </row>
    <row r="456" spans="15:15" ht="15.75" customHeight="1">
      <c r="O456" s="20"/>
    </row>
    <row r="457" spans="15:15" ht="15.75" customHeight="1">
      <c r="O457" s="20"/>
    </row>
    <row r="458" spans="15:15" ht="15.75" customHeight="1">
      <c r="O458" s="20"/>
    </row>
    <row r="459" spans="15:15" ht="15.75" customHeight="1">
      <c r="O459" s="20"/>
    </row>
    <row r="460" spans="15:15" ht="15.75" customHeight="1">
      <c r="O460" s="20"/>
    </row>
    <row r="461" spans="15:15" ht="15.75" customHeight="1">
      <c r="O461" s="20"/>
    </row>
    <row r="462" spans="15:15" ht="15.75" customHeight="1">
      <c r="O462" s="20"/>
    </row>
    <row r="463" spans="15:15" ht="15.75" customHeight="1">
      <c r="O463" s="20"/>
    </row>
    <row r="464" spans="15:15" ht="15.75" customHeight="1">
      <c r="O464" s="20"/>
    </row>
    <row r="465" spans="15:15" ht="15.75" customHeight="1">
      <c r="O465" s="20"/>
    </row>
    <row r="466" spans="15:15" ht="15.75" customHeight="1">
      <c r="O466" s="20"/>
    </row>
    <row r="467" spans="15:15" ht="15.75" customHeight="1">
      <c r="O467" s="20"/>
    </row>
    <row r="468" spans="15:15" ht="15.75" customHeight="1">
      <c r="O468" s="20"/>
    </row>
    <row r="469" spans="15:15" ht="15.75" customHeight="1">
      <c r="O469" s="20"/>
    </row>
    <row r="470" spans="15:15" ht="15.75" customHeight="1">
      <c r="O470" s="20"/>
    </row>
    <row r="471" spans="15:15" ht="15.75" customHeight="1">
      <c r="O471" s="20"/>
    </row>
    <row r="472" spans="15:15" ht="15.75" customHeight="1">
      <c r="O472" s="20"/>
    </row>
    <row r="473" spans="15:15" ht="15.75" customHeight="1">
      <c r="O473" s="20"/>
    </row>
    <row r="474" spans="15:15" ht="15.75" customHeight="1">
      <c r="O474" s="20"/>
    </row>
    <row r="475" spans="15:15" ht="15.75" customHeight="1">
      <c r="O475" s="20"/>
    </row>
    <row r="476" spans="15:15" ht="15.75" customHeight="1">
      <c r="O476" s="20"/>
    </row>
    <row r="477" spans="15:15" ht="15.75" customHeight="1">
      <c r="O477" s="20"/>
    </row>
    <row r="478" spans="15:15" ht="15.75" customHeight="1">
      <c r="O478" s="20"/>
    </row>
    <row r="479" spans="15:15" ht="15.75" customHeight="1">
      <c r="O479" s="20"/>
    </row>
    <row r="480" spans="15:15" ht="15.75" customHeight="1">
      <c r="O480" s="20"/>
    </row>
    <row r="481" spans="15:15" ht="15.75" customHeight="1">
      <c r="O481" s="20"/>
    </row>
    <row r="482" spans="15:15" ht="15.75" customHeight="1">
      <c r="O482" s="20"/>
    </row>
    <row r="483" spans="15:15" ht="15.75" customHeight="1">
      <c r="O483" s="20"/>
    </row>
    <row r="484" spans="15:15" ht="15.75" customHeight="1">
      <c r="O484" s="20"/>
    </row>
    <row r="485" spans="15:15" ht="15.75" customHeight="1">
      <c r="O485" s="20"/>
    </row>
    <row r="486" spans="15:15" ht="15.75" customHeight="1">
      <c r="O486" s="20"/>
    </row>
    <row r="487" spans="15:15" ht="15.75" customHeight="1">
      <c r="O487" s="20"/>
    </row>
    <row r="488" spans="15:15" ht="15.75" customHeight="1">
      <c r="O488" s="20"/>
    </row>
    <row r="489" spans="15:15" ht="15.75" customHeight="1">
      <c r="O489" s="20"/>
    </row>
    <row r="490" spans="15:15" ht="15.75" customHeight="1">
      <c r="O490" s="20"/>
    </row>
    <row r="491" spans="15:15" ht="15.75" customHeight="1">
      <c r="O491" s="20"/>
    </row>
    <row r="492" spans="15:15" ht="15.75" customHeight="1">
      <c r="O492" s="20"/>
    </row>
    <row r="493" spans="15:15" ht="15.75" customHeight="1">
      <c r="O493" s="20"/>
    </row>
    <row r="494" spans="15:15" ht="15.75" customHeight="1">
      <c r="O494" s="20"/>
    </row>
    <row r="495" spans="15:15" ht="15.75" customHeight="1">
      <c r="O495" s="20"/>
    </row>
    <row r="496" spans="15:15" ht="15.75" customHeight="1">
      <c r="O496" s="20"/>
    </row>
    <row r="497" spans="15:15" ht="15.75" customHeight="1">
      <c r="O497" s="20"/>
    </row>
    <row r="498" spans="15:15" ht="15.75" customHeight="1">
      <c r="O498" s="20"/>
    </row>
    <row r="499" spans="15:15" ht="15.75" customHeight="1">
      <c r="O499" s="20"/>
    </row>
    <row r="500" spans="15:15" ht="15.75" customHeight="1">
      <c r="O500" s="20"/>
    </row>
    <row r="501" spans="15:15" ht="15.75" customHeight="1"/>
    <row r="502" spans="15:15" ht="15.75" customHeight="1"/>
    <row r="503" spans="15:15" ht="15.75" customHeight="1"/>
    <row r="504" spans="15:15" ht="15.75" customHeight="1"/>
    <row r="505" spans="15:15" ht="15.75" customHeight="1"/>
    <row r="506" spans="15:15" ht="15.75" customHeight="1"/>
    <row r="507" spans="15:15" ht="15.75" customHeight="1"/>
    <row r="508" spans="15:15" ht="15.75" customHeight="1"/>
    <row r="509" spans="15:15" ht="15.75" customHeight="1"/>
    <row r="510" spans="15:15" ht="15.75" customHeight="1"/>
    <row r="511" spans="15:15" ht="15.75" customHeight="1"/>
    <row r="512" spans="15:15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dataValidations count="1">
    <dataValidation type="list" allowBlank="1" sqref="O4:O500">
      <formula1>"Active,On Hold,Completed,Cancelled"</formula1>
    </dataValidation>
  </dataValidations>
  <pageMargins left="0.5" right="0.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04"/>
  <sheetViews>
    <sheetView showGridLines="0" workbookViewId="0">
      <pane ySplit="13" topLeftCell="A14" activePane="bottomLeft" state="frozen"/>
      <selection pane="bottomLeft" activeCell="F16" sqref="F16"/>
    </sheetView>
  </sheetViews>
  <sheetFormatPr defaultColWidth="14.42578125" defaultRowHeight="15" customHeight="1"/>
  <cols>
    <col min="1" max="1" width="10" customWidth="1"/>
    <col min="2" max="2" width="24" customWidth="1"/>
    <col min="3" max="3" width="18" customWidth="1"/>
    <col min="4" max="4" width="14" customWidth="1"/>
    <col min="5" max="5" width="18" customWidth="1"/>
    <col min="6" max="6" width="10" customWidth="1"/>
    <col min="7" max="7" width="18" customWidth="1"/>
    <col min="8" max="9" width="16" customWidth="1"/>
    <col min="10" max="10" width="18" customWidth="1"/>
    <col min="11" max="11" width="10" customWidth="1"/>
    <col min="12" max="12" width="8.7109375" customWidth="1"/>
    <col min="13" max="13" width="10.42578125" bestFit="1" customWidth="1"/>
    <col min="14" max="14" width="8.7109375" customWidth="1"/>
    <col min="15" max="15" width="11.5703125" bestFit="1" customWidth="1"/>
    <col min="16" max="26" width="8.7109375" customWidth="1"/>
  </cols>
  <sheetData>
    <row r="1" spans="1:18" ht="37.5" customHeight="1">
      <c r="A1" s="132" t="s">
        <v>123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124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19.5" customHeight="1">
      <c r="A3" s="145" t="s">
        <v>125</v>
      </c>
      <c r="B3" s="124"/>
      <c r="C3" s="125"/>
      <c r="D3" s="144" t="s">
        <v>126</v>
      </c>
      <c r="E3" s="124"/>
      <c r="F3" s="125"/>
      <c r="G3" s="139" t="s">
        <v>127</v>
      </c>
      <c r="H3" s="124"/>
      <c r="I3" s="125"/>
      <c r="J3" s="143" t="s">
        <v>128</v>
      </c>
      <c r="K3" s="124"/>
      <c r="L3" s="125"/>
    </row>
    <row r="4" spans="1:18" ht="36" customHeight="1">
      <c r="A4" s="183">
        <f>SUM(F8:F12)</f>
        <v>2000000</v>
      </c>
      <c r="B4" s="124"/>
      <c r="C4" s="125"/>
      <c r="D4" s="182">
        <f>'📊 P&amp;L AUTO'!H32</f>
        <v>1610000</v>
      </c>
      <c r="E4" s="124"/>
      <c r="F4" s="125"/>
      <c r="G4" s="181">
        <f>SUM(I8:I12)</f>
        <v>0</v>
      </c>
      <c r="H4" s="124"/>
      <c r="I4" s="125"/>
      <c r="J4" s="180">
        <f>A4+D4-G4</f>
        <v>3610000</v>
      </c>
      <c r="K4" s="124"/>
      <c r="L4" s="125"/>
    </row>
    <row r="5" spans="1:18" s="50" customFormat="1"/>
    <row r="6" spans="1:18" s="50" customFormat="1" ht="21.95" customHeight="1">
      <c r="A6" s="184" t="s">
        <v>624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</row>
    <row r="7" spans="1:18" s="50" customFormat="1" ht="26.1" customHeight="1">
      <c r="A7" s="51" t="s">
        <v>129</v>
      </c>
      <c r="B7" s="51" t="s">
        <v>625</v>
      </c>
      <c r="C7" s="51" t="s">
        <v>626</v>
      </c>
      <c r="D7" s="51" t="s">
        <v>130</v>
      </c>
      <c r="E7" s="51" t="s">
        <v>131</v>
      </c>
      <c r="F7" s="51" t="s">
        <v>132</v>
      </c>
      <c r="G7" s="51" t="s">
        <v>133</v>
      </c>
      <c r="H7" s="51" t="s">
        <v>627</v>
      </c>
      <c r="I7" s="51" t="s">
        <v>628</v>
      </c>
      <c r="J7" s="51" t="s">
        <v>389</v>
      </c>
      <c r="K7" s="51" t="s">
        <v>629</v>
      </c>
      <c r="L7" s="51" t="s">
        <v>135</v>
      </c>
      <c r="M7" s="51" t="s">
        <v>630</v>
      </c>
      <c r="N7" s="51" t="s">
        <v>41</v>
      </c>
      <c r="O7" s="51" t="s">
        <v>156</v>
      </c>
    </row>
    <row r="8" spans="1:18" s="50" customFormat="1" ht="20.100000000000001" customHeight="1">
      <c r="A8" s="55" t="s">
        <v>137</v>
      </c>
      <c r="B8" s="55" t="s">
        <v>633</v>
      </c>
      <c r="C8" s="55" t="s">
        <v>631</v>
      </c>
      <c r="D8" s="55" t="s">
        <v>138</v>
      </c>
      <c r="E8" s="55" t="s">
        <v>139</v>
      </c>
      <c r="F8" s="53">
        <f>SUMIFS(F15:F39,E15:E39,E15,D15:D39,D15)</f>
        <v>1000000</v>
      </c>
      <c r="G8" s="54">
        <v>0.5</v>
      </c>
      <c r="H8" s="56">
        <f>IFERROR('[1]📊 P&amp;L'!H32*G8,0)</f>
        <v>12050000</v>
      </c>
      <c r="I8" s="57">
        <f>SUMIFS(F15:F39,E15:E39,"Withdrawals",D15:D39,D15)</f>
        <v>0</v>
      </c>
      <c r="J8" s="56">
        <f>F8+H8-I8</f>
        <v>13050000</v>
      </c>
      <c r="K8" s="55" t="s">
        <v>634</v>
      </c>
      <c r="L8" s="55" t="s">
        <v>140</v>
      </c>
      <c r="M8" s="58">
        <v>46157</v>
      </c>
      <c r="N8" s="55" t="s">
        <v>122</v>
      </c>
      <c r="O8" s="55" t="s">
        <v>632</v>
      </c>
    </row>
    <row r="9" spans="1:18" s="50" customFormat="1">
      <c r="A9" s="55" t="s">
        <v>636</v>
      </c>
      <c r="B9" s="55" t="s">
        <v>637</v>
      </c>
      <c r="C9" s="55" t="s">
        <v>638</v>
      </c>
      <c r="D9" s="55" t="s">
        <v>138</v>
      </c>
      <c r="E9" s="55" t="s">
        <v>139</v>
      </c>
      <c r="F9" s="53">
        <f>SUMIFS(F16:F40,E16:E40,E16,D16:D40,D16)</f>
        <v>1000000</v>
      </c>
      <c r="G9" s="54">
        <v>0.5</v>
      </c>
      <c r="H9" s="56">
        <f>IFERROR('[1]📊 P&amp;L'!H32*G9,0)</f>
        <v>12050000</v>
      </c>
      <c r="I9" s="57">
        <f>SUMIFS(F16:F40,E16:E40,"Withdrawals",D16:D40,D16)</f>
        <v>0</v>
      </c>
      <c r="J9" s="56">
        <f>F9+H9-I9</f>
        <v>13050000</v>
      </c>
      <c r="K9" s="55" t="s">
        <v>634</v>
      </c>
      <c r="L9" s="55" t="s">
        <v>639</v>
      </c>
      <c r="M9" s="58">
        <v>46157</v>
      </c>
      <c r="N9" s="55" t="s">
        <v>122</v>
      </c>
      <c r="O9" s="55" t="s">
        <v>635</v>
      </c>
    </row>
    <row r="10" spans="1:18" s="50" customFormat="1"/>
    <row r="12" spans="1:18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8" ht="24" customHeight="1">
      <c r="A13" s="179" t="s">
        <v>640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1:18" ht="19.5" customHeight="1">
      <c r="A14" s="51" t="s">
        <v>641</v>
      </c>
      <c r="B14" s="51" t="s">
        <v>416</v>
      </c>
      <c r="C14" s="51" t="s">
        <v>129</v>
      </c>
      <c r="D14" s="51" t="s">
        <v>625</v>
      </c>
      <c r="E14" s="51" t="s">
        <v>105</v>
      </c>
      <c r="F14" s="51" t="s">
        <v>44</v>
      </c>
      <c r="G14" s="51" t="s">
        <v>135</v>
      </c>
      <c r="H14" s="51" t="s">
        <v>642</v>
      </c>
      <c r="I14" s="51" t="s">
        <v>643</v>
      </c>
      <c r="J14" s="51" t="s">
        <v>156</v>
      </c>
      <c r="K14" s="177" t="s">
        <v>686</v>
      </c>
      <c r="L14" s="178"/>
      <c r="M14" s="178"/>
      <c r="N14" s="50"/>
    </row>
    <row r="15" spans="1:18" ht="15" customHeight="1">
      <c r="A15" s="55" t="s">
        <v>425</v>
      </c>
      <c r="B15" s="58">
        <v>46156</v>
      </c>
      <c r="C15" s="55" t="s">
        <v>137</v>
      </c>
      <c r="D15" s="59" t="str">
        <f>IFERROR(VLOOKUP(C15,'[1]👥 Partners'!A:B,2,0),"")</f>
        <v xml:space="preserve">sharjeel ahmed </v>
      </c>
      <c r="E15" s="55" t="s">
        <v>644</v>
      </c>
      <c r="F15" s="53">
        <v>1000000</v>
      </c>
      <c r="G15" s="55" t="s">
        <v>140</v>
      </c>
      <c r="H15" s="55" t="s">
        <v>646</v>
      </c>
      <c r="I15" s="52" t="s">
        <v>684</v>
      </c>
      <c r="J15" s="55" t="s">
        <v>645</v>
      </c>
      <c r="K15" s="68" t="s">
        <v>685</v>
      </c>
      <c r="L15" s="69"/>
      <c r="M15" s="69"/>
      <c r="N15" s="50"/>
    </row>
    <row r="16" spans="1:18" ht="15" customHeight="1">
      <c r="A16" s="55" t="s">
        <v>462</v>
      </c>
      <c r="B16" s="58">
        <v>46156</v>
      </c>
      <c r="C16" s="55" t="s">
        <v>636</v>
      </c>
      <c r="D16" s="59" t="str">
        <f>IFERROR(VLOOKUP(C16,'[1]👥 Partners'!A:B,2,0),"")</f>
        <v xml:space="preserve">Faraz Gulzar </v>
      </c>
      <c r="E16" s="55" t="s">
        <v>644</v>
      </c>
      <c r="F16" s="53">
        <v>1000000</v>
      </c>
      <c r="G16" s="55" t="s">
        <v>647</v>
      </c>
      <c r="H16" s="55" t="s">
        <v>648</v>
      </c>
      <c r="I16" s="52" t="s">
        <v>684</v>
      </c>
      <c r="J16" s="55" t="s">
        <v>645</v>
      </c>
      <c r="K16" s="68" t="s">
        <v>685</v>
      </c>
      <c r="L16" s="69"/>
      <c r="M16" s="69"/>
      <c r="N16" s="50"/>
    </row>
    <row r="17" spans="1:14" ht="15" customHeight="1">
      <c r="A17" s="55"/>
      <c r="B17" s="58"/>
      <c r="C17" s="55"/>
      <c r="D17" s="59"/>
      <c r="E17" s="55"/>
      <c r="F17" s="53"/>
      <c r="G17" s="55"/>
      <c r="H17" s="55"/>
      <c r="I17" s="52"/>
      <c r="J17" s="55"/>
      <c r="K17" s="68"/>
      <c r="L17" s="69"/>
      <c r="M17" s="69"/>
      <c r="N17" s="66"/>
    </row>
    <row r="18" spans="1:14" ht="15" customHeight="1">
      <c r="A18" s="55"/>
      <c r="B18" s="58"/>
      <c r="C18" s="55"/>
      <c r="D18" s="59"/>
      <c r="E18" s="55"/>
      <c r="F18" s="53"/>
      <c r="G18" s="55"/>
      <c r="H18" s="55"/>
      <c r="I18" s="52"/>
      <c r="J18" s="55"/>
      <c r="K18" s="68"/>
      <c r="L18" s="69"/>
      <c r="M18" s="69"/>
      <c r="N18" s="66"/>
    </row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K14:M14"/>
    <mergeCell ref="A13:N13"/>
    <mergeCell ref="A2:R2"/>
    <mergeCell ref="A1:R1"/>
    <mergeCell ref="J3:L3"/>
    <mergeCell ref="J4:L4"/>
    <mergeCell ref="G4:I4"/>
    <mergeCell ref="D4:F4"/>
    <mergeCell ref="A4:C4"/>
    <mergeCell ref="G3:I3"/>
    <mergeCell ref="D3:F3"/>
    <mergeCell ref="A3:C3"/>
    <mergeCell ref="A6:N6"/>
  </mergeCells>
  <dataValidations count="1">
    <dataValidation type="textLength" operator="equal" showErrorMessage="1" errorTitle="Invalid CNIC" error="CNIC must be 15 characters including dashes (e.g. 42101-1234567-1)" sqref="D8:D10 D12:D18">
      <formula1>15</formula1>
    </dataValidation>
  </dataValidations>
  <pageMargins left="0.5" right="0.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992"/>
  <sheetViews>
    <sheetView showGridLines="0" workbookViewId="0">
      <pane ySplit="7" topLeftCell="A8" activePane="bottomLeft" state="frozen"/>
      <selection pane="bottomLeft" activeCell="L25" sqref="L25"/>
    </sheetView>
  </sheetViews>
  <sheetFormatPr defaultColWidth="14.42578125" defaultRowHeight="15" customHeight="1"/>
  <cols>
    <col min="1" max="1" width="10" customWidth="1"/>
    <col min="2" max="3" width="12" customWidth="1"/>
    <col min="4" max="4" width="15.85546875" bestFit="1" customWidth="1"/>
    <col min="5" max="6" width="10" customWidth="1"/>
    <col min="7" max="7" width="12" customWidth="1"/>
    <col min="8" max="11" width="16" customWidth="1"/>
    <col min="12" max="12" width="12" customWidth="1"/>
    <col min="13" max="13" width="16" customWidth="1"/>
    <col min="14" max="14" width="22" customWidth="1"/>
    <col min="15" max="16" width="14" customWidth="1"/>
    <col min="17" max="17" width="12" customWidth="1"/>
    <col min="18" max="18" width="10" customWidth="1"/>
    <col min="19" max="20" width="16" customWidth="1"/>
    <col min="21" max="21" width="14" customWidth="1"/>
    <col min="22" max="22" width="20" bestFit="1" customWidth="1"/>
    <col min="23" max="23" width="20" customWidth="1"/>
    <col min="24" max="24" width="17" bestFit="1" customWidth="1"/>
    <col min="25" max="25" width="20" customWidth="1"/>
    <col min="26" max="31" width="8.7109375" customWidth="1"/>
  </cols>
  <sheetData>
    <row r="1" spans="1:29" ht="37.5" customHeight="1">
      <c r="A1" s="132" t="s">
        <v>722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5"/>
    </row>
    <row r="2" spans="1:29" ht="18" customHeight="1">
      <c r="A2" s="133" t="s">
        <v>723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5"/>
    </row>
    <row r="3" spans="1:29" ht="19.5" customHeight="1">
      <c r="A3" s="145" t="s">
        <v>9</v>
      </c>
      <c r="B3" s="124"/>
      <c r="C3" s="124"/>
      <c r="D3" s="125"/>
      <c r="E3" s="144" t="s">
        <v>141</v>
      </c>
      <c r="F3" s="124"/>
      <c r="G3" s="124"/>
      <c r="H3" s="125"/>
      <c r="I3" s="154" t="s">
        <v>142</v>
      </c>
      <c r="J3" s="124"/>
      <c r="K3" s="124"/>
      <c r="L3" s="198" t="s">
        <v>718</v>
      </c>
      <c r="M3" s="199"/>
      <c r="N3" s="199"/>
      <c r="O3" s="200" t="s">
        <v>719</v>
      </c>
      <c r="P3" s="147"/>
      <c r="Q3" s="147"/>
      <c r="R3" s="143" t="s">
        <v>143</v>
      </c>
      <c r="S3" s="196"/>
      <c r="T3" s="144" t="s">
        <v>144</v>
      </c>
      <c r="U3" s="195"/>
      <c r="V3" s="139" t="s">
        <v>145</v>
      </c>
      <c r="W3" s="192"/>
      <c r="X3" s="192"/>
      <c r="Y3" s="192"/>
    </row>
    <row r="4" spans="1:29" ht="36" customHeight="1">
      <c r="A4" s="183">
        <f>COUNTA(A7:A4992)-0</f>
        <v>12</v>
      </c>
      <c r="B4" s="124"/>
      <c r="C4" s="124"/>
      <c r="D4" s="125"/>
      <c r="E4" s="182">
        <f>COUNTIF(L7:L4992,"Sold")++COUNTIF(L7:L4992,"Booked")</f>
        <v>2</v>
      </c>
      <c r="F4" s="124"/>
      <c r="G4" s="124"/>
      <c r="H4" s="125"/>
      <c r="I4" s="183">
        <f>COUNTIF(L7:L4992,"Available")</f>
        <v>8</v>
      </c>
      <c r="J4" s="124"/>
      <c r="K4" s="124"/>
      <c r="L4" s="182">
        <f>COUNTIF(L7:L4992,"Possession Given")</f>
        <v>0</v>
      </c>
      <c r="M4" s="124"/>
      <c r="N4" s="124"/>
      <c r="O4" s="201">
        <f>COUNTIF(L7:L4992,"Cancelled")</f>
        <v>0</v>
      </c>
      <c r="P4" s="147"/>
      <c r="Q4" s="147"/>
      <c r="R4" s="180">
        <f>SUMIF(L7:L4992,"Sold",H7:H4992)</f>
        <v>5670000</v>
      </c>
      <c r="S4" s="197"/>
      <c r="T4" s="194">
        <f>SUM(S8:S18)</f>
        <v>2430000</v>
      </c>
      <c r="U4" s="194"/>
      <c r="V4" s="181">
        <f>R4-T4</f>
        <v>3240000</v>
      </c>
      <c r="W4" s="193"/>
      <c r="X4" s="193"/>
      <c r="Y4" s="193"/>
    </row>
    <row r="6" spans="1:29" ht="21.75" customHeight="1">
      <c r="A6" s="136" t="s">
        <v>146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5"/>
    </row>
    <row r="7" spans="1:29" ht="31.5" customHeight="1">
      <c r="A7" s="1" t="s">
        <v>371</v>
      </c>
      <c r="B7" s="1" t="s">
        <v>103</v>
      </c>
      <c r="C7" s="64" t="s">
        <v>105</v>
      </c>
      <c r="D7" s="1" t="s">
        <v>709</v>
      </c>
      <c r="E7" s="1" t="s">
        <v>707</v>
      </c>
      <c r="F7" s="1" t="s">
        <v>148</v>
      </c>
      <c r="G7" s="1" t="s">
        <v>708</v>
      </c>
      <c r="H7" s="1" t="s">
        <v>720</v>
      </c>
      <c r="I7" s="1" t="s">
        <v>698</v>
      </c>
      <c r="J7" s="1" t="s">
        <v>699</v>
      </c>
      <c r="K7" s="1" t="s">
        <v>700</v>
      </c>
      <c r="L7" s="1" t="s">
        <v>149</v>
      </c>
      <c r="M7" s="76" t="s">
        <v>372</v>
      </c>
      <c r="N7" s="76" t="s">
        <v>721</v>
      </c>
      <c r="O7" s="99" t="s">
        <v>587</v>
      </c>
      <c r="P7" s="1" t="s">
        <v>717</v>
      </c>
      <c r="Q7" s="76" t="s">
        <v>151</v>
      </c>
      <c r="R7" s="1" t="s">
        <v>716</v>
      </c>
      <c r="S7" s="1" t="s">
        <v>152</v>
      </c>
      <c r="T7" s="1" t="s">
        <v>153</v>
      </c>
      <c r="U7" s="1" t="s">
        <v>154</v>
      </c>
      <c r="V7" s="1" t="s">
        <v>155</v>
      </c>
      <c r="W7" s="64" t="s">
        <v>701</v>
      </c>
      <c r="X7" s="1" t="s">
        <v>702</v>
      </c>
      <c r="Y7" s="1" t="s">
        <v>156</v>
      </c>
    </row>
    <row r="8" spans="1:29" ht="19.5" customHeight="1">
      <c r="A8" s="70">
        <v>1</v>
      </c>
      <c r="B8" s="70" t="s">
        <v>117</v>
      </c>
      <c r="C8" s="121" t="s">
        <v>705</v>
      </c>
      <c r="D8" s="70" t="s">
        <v>710</v>
      </c>
      <c r="E8" s="71">
        <v>1</v>
      </c>
      <c r="F8" s="71">
        <v>468</v>
      </c>
      <c r="G8" s="71">
        <v>7500</v>
      </c>
      <c r="H8" s="72">
        <f t="shared" ref="H8:H12" si="0">G8*F8</f>
        <v>3510000</v>
      </c>
      <c r="I8" s="73"/>
      <c r="J8" s="73"/>
      <c r="K8" s="72">
        <f>H8+I8-J8</f>
        <v>3510000</v>
      </c>
      <c r="L8" s="77" t="s">
        <v>142</v>
      </c>
      <c r="M8" s="77" t="str">
        <f>IFERROR(INDEX('👤 Customers'!$A$5:$A$100,MATCH(A8,'👤 Customers'!$K$5:$K$100,0)),"")</f>
        <v>C-003</v>
      </c>
      <c r="N8" s="2" t="str">
        <f>IFERROR(VLOOKUP(M8,'👤 Customers'!A:C,3,0),"")</f>
        <v xml:space="preserve">hello </v>
      </c>
      <c r="O8" s="100">
        <f>IFERROR(VLOOKUP(M8,'👤 Customers'!A:T,19,0),"")</f>
        <v>46218</v>
      </c>
      <c r="P8" s="17"/>
      <c r="Q8" s="2">
        <f>IFERROR(COUNTIF('📅 Installments AUTO'!C:C,A8),0)</f>
        <v>0</v>
      </c>
      <c r="R8" s="2">
        <f>IFERROR(COUNTIFS('📅 Installments AUTO'!C:C,A8,'📅 Installments AUTO'!N:N,"Paid"),0)</f>
        <v>0</v>
      </c>
      <c r="S8" s="3">
        <f>IFERROR(SUMIF('💳 PAYMENTS Entery'!G:G,A8,'💳 PAYMENTS Entery'!H:H),0)</f>
        <v>0</v>
      </c>
      <c r="T8" s="72">
        <f t="shared" ref="T8:T9" si="1">H8-S8</f>
        <v>3510000</v>
      </c>
      <c r="U8" s="25" t="str">
        <f ca="1">IFERROR(MAXIFS('💳 PAYMENTS Entery'!C:C,'💳 PAYMENTS Entery'!G:G,A8),"")</f>
        <v/>
      </c>
      <c r="V8" s="4">
        <f t="shared" ref="V8:V9" si="2">IFERROR(S8/H8,0)</f>
        <v>0</v>
      </c>
      <c r="W8" s="102" t="s">
        <v>852</v>
      </c>
      <c r="X8" s="102" t="s">
        <v>852</v>
      </c>
      <c r="Y8" s="17" t="s">
        <v>159</v>
      </c>
    </row>
    <row r="9" spans="1:29" ht="19.5" customHeight="1">
      <c r="A9" s="70">
        <v>2</v>
      </c>
      <c r="B9" s="70" t="s">
        <v>117</v>
      </c>
      <c r="C9" s="121" t="s">
        <v>703</v>
      </c>
      <c r="D9" s="70" t="s">
        <v>710</v>
      </c>
      <c r="E9" s="71">
        <v>2</v>
      </c>
      <c r="F9" s="71">
        <v>702</v>
      </c>
      <c r="G9" s="71">
        <v>7500</v>
      </c>
      <c r="H9" s="72">
        <f t="shared" si="0"/>
        <v>5265000</v>
      </c>
      <c r="I9" s="73"/>
      <c r="J9" s="73"/>
      <c r="K9" s="72">
        <f t="shared" ref="K9:K18" si="3">H9+I9-J9</f>
        <v>5265000</v>
      </c>
      <c r="L9" s="77" t="s">
        <v>164</v>
      </c>
      <c r="M9" s="77" t="str">
        <f>IFERROR(INDEX('👤 Customers'!$A$5:$A$100,MATCH(A9,'👤 Customers'!$K$5:$K$100,0)),"")</f>
        <v/>
      </c>
      <c r="N9" s="2" t="str">
        <f>IFERROR(VLOOKUP(M9,'👤 Customers'!A:C,3,0),"")</f>
        <v/>
      </c>
      <c r="O9" s="101">
        <v>46054</v>
      </c>
      <c r="P9" s="22"/>
      <c r="Q9" s="5">
        <f>IFERROR(COUNTIF('📅 Installments AUTO'!C:C,A9),0)</f>
        <v>0</v>
      </c>
      <c r="R9" s="5">
        <f>IFERROR(COUNTIFS('📅 Installments AUTO'!C:C,A9,'📅 Installments AUTO'!N:N,"Paid"),0)</f>
        <v>0</v>
      </c>
      <c r="S9" s="6">
        <f>IFERROR(SUMIF('💳 PAYMENTS Entery'!G:G,A9,'💳 PAYMENTS Entery'!H:H),0)</f>
        <v>0</v>
      </c>
      <c r="T9" s="72">
        <f t="shared" si="1"/>
        <v>5265000</v>
      </c>
      <c r="U9" s="27" t="str">
        <f ca="1">IFERROR(MAXIFS('💳 PAYMENTS Entery'!C:C,'💳 PAYMENTS Entery'!G:G,A9),"")</f>
        <v/>
      </c>
      <c r="V9" s="7">
        <f t="shared" si="2"/>
        <v>0</v>
      </c>
      <c r="W9" s="7"/>
      <c r="X9" s="7"/>
      <c r="Y9" s="22"/>
    </row>
    <row r="10" spans="1:29" ht="19.5" customHeight="1">
      <c r="A10" s="70">
        <v>101</v>
      </c>
      <c r="B10" s="70" t="s">
        <v>117</v>
      </c>
      <c r="C10" s="121" t="s">
        <v>705</v>
      </c>
      <c r="D10" s="70" t="s">
        <v>711</v>
      </c>
      <c r="E10" s="71">
        <v>101</v>
      </c>
      <c r="F10" s="71">
        <v>522</v>
      </c>
      <c r="G10" s="71">
        <v>7500</v>
      </c>
      <c r="H10" s="72">
        <f t="shared" si="0"/>
        <v>3915000</v>
      </c>
      <c r="I10" s="73"/>
      <c r="J10" s="73"/>
      <c r="K10" s="72">
        <f t="shared" si="3"/>
        <v>3915000</v>
      </c>
      <c r="L10" s="77" t="s">
        <v>142</v>
      </c>
      <c r="M10" s="77" t="str">
        <f>IFERROR(INDEX('👤 Customers'!$A$5:$A$100,MATCH(A10,'👤 Customers'!$K$5:$K$100,0)),"")</f>
        <v>C-002</v>
      </c>
      <c r="N10" s="2" t="str">
        <f>IFERROR(VLOOKUP(M10,'👤 Customers'!A:C,3,0),"")</f>
        <v xml:space="preserve">Sharjeel </v>
      </c>
      <c r="O10" s="100"/>
      <c r="P10" s="17"/>
      <c r="Q10" s="5">
        <f>IFERROR(COUNTIF('📅 Installments AUTO'!C:C,A10),0)</f>
        <v>0</v>
      </c>
      <c r="R10" s="5">
        <f>IFERROR(COUNTIFS('📅 Installments AUTO'!C:C,A10,'📅 Installments AUTO'!N:N,"Paid"),0)</f>
        <v>0</v>
      </c>
      <c r="S10" s="6">
        <f>IFERROR(SUMIF('💳 PAYMENTS Entery'!G:G,A10,'💳 PAYMENTS Entery'!H:H),0)</f>
        <v>0</v>
      </c>
      <c r="T10" s="72">
        <f t="shared" ref="T10:T18" si="4">H10-S10</f>
        <v>3915000</v>
      </c>
      <c r="U10" s="27" t="str">
        <f ca="1">IFERROR(MAXIFS('💳 PAYMENTS Entery'!C:C,'💳 PAYMENTS Entery'!G:G,A10),"")</f>
        <v/>
      </c>
      <c r="V10" s="7">
        <f t="shared" ref="V10:V18" si="5">IFERROR(S10/H10,0)</f>
        <v>0</v>
      </c>
      <c r="W10" s="7"/>
      <c r="X10" s="7"/>
      <c r="Y10" s="22"/>
    </row>
    <row r="11" spans="1:29" ht="19.5" customHeight="1">
      <c r="A11" s="70">
        <v>102</v>
      </c>
      <c r="B11" s="70" t="s">
        <v>117</v>
      </c>
      <c r="C11" s="121" t="s">
        <v>703</v>
      </c>
      <c r="D11" s="70" t="s">
        <v>711</v>
      </c>
      <c r="E11" s="71">
        <v>102</v>
      </c>
      <c r="F11" s="71">
        <v>756</v>
      </c>
      <c r="G11" s="71">
        <v>7500</v>
      </c>
      <c r="H11" s="72">
        <f t="shared" si="0"/>
        <v>5670000</v>
      </c>
      <c r="I11" s="73">
        <v>0</v>
      </c>
      <c r="J11" s="73">
        <v>0</v>
      </c>
      <c r="K11" s="72">
        <f t="shared" si="3"/>
        <v>5670000</v>
      </c>
      <c r="L11" s="77" t="s">
        <v>142</v>
      </c>
      <c r="M11" s="77" t="str">
        <f>IFERROR(INDEX('👤 Customers'!$A$5:$A$100,MATCH(A11,'👤 Customers'!$K$5:$K$100,0)),"")</f>
        <v/>
      </c>
      <c r="N11" s="2" t="str">
        <f>IFERROR(VLOOKUP(M11,'👤 Customers'!A:C,3,0),"")</f>
        <v/>
      </c>
      <c r="O11" s="101"/>
      <c r="P11" s="22"/>
      <c r="Q11" s="5">
        <f>IFERROR(COUNTIF('📅 Installments AUTO'!C:C,A11),0)</f>
        <v>0</v>
      </c>
      <c r="R11" s="5">
        <f>IFERROR(COUNTIFS('📅 Installments AUTO'!C:C,A11,'📅 Installments AUTO'!N:N,"Paid"),0)</f>
        <v>0</v>
      </c>
      <c r="S11" s="6">
        <f>IFERROR(SUMIF('💳 PAYMENTS Entery'!G:G,A11,'💳 PAYMENTS Entery'!H:H),0)</f>
        <v>0</v>
      </c>
      <c r="T11" s="72">
        <f t="shared" si="4"/>
        <v>5670000</v>
      </c>
      <c r="U11" s="27" t="str">
        <f ca="1">IFERROR(MAXIFS('💳 PAYMENTS Entery'!C:C,'💳 PAYMENTS Entery'!G:G,A11),"")</f>
        <v/>
      </c>
      <c r="V11" s="7">
        <f t="shared" si="5"/>
        <v>0</v>
      </c>
      <c r="W11" s="7"/>
      <c r="X11" s="7"/>
      <c r="Y11" s="22"/>
    </row>
    <row r="12" spans="1:29" ht="19.5" customHeight="1">
      <c r="A12" s="70">
        <v>201</v>
      </c>
      <c r="B12" s="70" t="s">
        <v>117</v>
      </c>
      <c r="C12" s="121" t="s">
        <v>705</v>
      </c>
      <c r="D12" s="70" t="s">
        <v>712</v>
      </c>
      <c r="E12" s="71">
        <v>201</v>
      </c>
      <c r="F12" s="71">
        <v>522</v>
      </c>
      <c r="G12" s="71">
        <v>7500</v>
      </c>
      <c r="H12" s="72">
        <f t="shared" si="0"/>
        <v>3915000</v>
      </c>
      <c r="I12" s="73"/>
      <c r="J12" s="73"/>
      <c r="K12" s="72">
        <f t="shared" si="3"/>
        <v>3915000</v>
      </c>
      <c r="L12" s="77" t="s">
        <v>706</v>
      </c>
      <c r="M12" s="77" t="str">
        <f>IFERROR(INDEX('👤 Customers'!$A$5:$A$100,MATCH(A12,'👤 Customers'!$K$5:$K$100,0)),"")</f>
        <v/>
      </c>
      <c r="N12" s="2" t="str">
        <f>IFERROR(VLOOKUP(M12,'👤 Customers'!A:C,3,0),"")</f>
        <v/>
      </c>
      <c r="O12" s="102" t="s">
        <v>776</v>
      </c>
      <c r="P12" s="96" t="s">
        <v>659</v>
      </c>
      <c r="Q12" s="5">
        <f>IFERROR(COUNTIF('📅 Installments AUTO'!C:C,A12),0)</f>
        <v>0</v>
      </c>
      <c r="R12" s="5">
        <f>IFERROR(COUNTIFS('📅 Installments AUTO'!C:C,A12,'📅 Installments AUTO'!N:N,"Paid"),0)</f>
        <v>0</v>
      </c>
      <c r="S12" s="6">
        <f>IFERROR(SUMIF('💳 PAYMENTS Entery'!G:G,A12,'💳 PAYMENTS Entery'!H:H),0)</f>
        <v>0</v>
      </c>
      <c r="T12" s="72">
        <f t="shared" si="4"/>
        <v>3915000</v>
      </c>
      <c r="U12" s="27" t="str">
        <f ca="1">IFERROR(MAXIFS('💳 PAYMENTS Entery'!C:C,'💳 PAYMENTS Entery'!G:G,A12),"")</f>
        <v/>
      </c>
      <c r="V12" s="7">
        <f t="shared" si="5"/>
        <v>0</v>
      </c>
      <c r="W12" s="7"/>
      <c r="X12" s="7"/>
      <c r="Y12" s="22"/>
    </row>
    <row r="13" spans="1:29">
      <c r="A13" s="70">
        <v>202</v>
      </c>
      <c r="B13" s="70" t="s">
        <v>117</v>
      </c>
      <c r="C13" s="121" t="s">
        <v>703</v>
      </c>
      <c r="D13" s="70" t="s">
        <v>712</v>
      </c>
      <c r="E13" s="71">
        <v>202</v>
      </c>
      <c r="F13" s="71">
        <v>756</v>
      </c>
      <c r="G13" s="71">
        <v>7500</v>
      </c>
      <c r="H13" s="72">
        <f t="shared" ref="H13:H18" si="6">G13*F13</f>
        <v>5670000</v>
      </c>
      <c r="I13" s="73"/>
      <c r="J13" s="73"/>
      <c r="K13" s="72">
        <f t="shared" si="3"/>
        <v>5670000</v>
      </c>
      <c r="L13" s="77" t="s">
        <v>141</v>
      </c>
      <c r="M13" s="77" t="str">
        <f>IFERROR(INDEX('👤 Customers'!$A$5:$A$100,MATCH(A13,'👤 Customers'!$K$5:$K$100,0)),"")</f>
        <v>C-001</v>
      </c>
      <c r="N13" s="2" t="str">
        <f>IFERROR(VLOOKUP(M13,'👤 Customers'!A:C,3,0),"")</f>
        <v>Zulfiqar Ali Sapro</v>
      </c>
      <c r="O13" s="100" t="s">
        <v>668</v>
      </c>
      <c r="P13" s="17" t="s">
        <v>659</v>
      </c>
      <c r="Q13" s="5">
        <f>IFERROR(COUNTIF('📅 Installments AUTO'!C:C,A13),0)</f>
        <v>0</v>
      </c>
      <c r="R13" s="5">
        <f>IFERROR(COUNTIFS('📅 Installments AUTO'!C:C,A13,'📅 Installments AUTO'!N:N,"Paid"),0)</f>
        <v>0</v>
      </c>
      <c r="S13" s="6">
        <f>IFERROR(SUMIF('💳 PAYMENTS Entery'!G:G,A13,'💳 PAYMENTS Entery'!H:H),0)</f>
        <v>2430000</v>
      </c>
      <c r="T13" s="72">
        <f t="shared" si="4"/>
        <v>3240000</v>
      </c>
      <c r="U13" s="27" t="str">
        <f ca="1">IFERROR(MAXIFS('💳 PAYMENTS Entery'!C:C,'💳 PAYMENTS Entery'!G:G,A13),"")</f>
        <v/>
      </c>
      <c r="V13" s="7">
        <f t="shared" si="5"/>
        <v>0.42857142857142855</v>
      </c>
      <c r="W13" s="7"/>
      <c r="X13" s="7"/>
      <c r="Y13" s="22"/>
    </row>
    <row r="14" spans="1:29">
      <c r="A14" s="70">
        <v>301</v>
      </c>
      <c r="B14" s="70" t="s">
        <v>117</v>
      </c>
      <c r="C14" s="121" t="s">
        <v>705</v>
      </c>
      <c r="D14" s="70" t="s">
        <v>713</v>
      </c>
      <c r="E14" s="71">
        <v>301</v>
      </c>
      <c r="F14" s="71">
        <v>522</v>
      </c>
      <c r="G14" s="71">
        <v>7500</v>
      </c>
      <c r="H14" s="72">
        <f t="shared" si="6"/>
        <v>3915000</v>
      </c>
      <c r="I14" s="73"/>
      <c r="J14" s="73"/>
      <c r="K14" s="72">
        <f t="shared" si="3"/>
        <v>3915000</v>
      </c>
      <c r="L14" s="77" t="s">
        <v>142</v>
      </c>
      <c r="M14" s="77" t="str">
        <f>IFERROR(INDEX('👤 Customers'!$A$5:$A$100,MATCH(A14,'👤 Customers'!$K$5:$K$100,0)),"")</f>
        <v/>
      </c>
      <c r="N14" s="2" t="str">
        <f>IFERROR(VLOOKUP(M14,'👤 Customers'!A:C,3,0),"")</f>
        <v/>
      </c>
      <c r="O14" s="100"/>
      <c r="P14" s="17"/>
      <c r="Q14" s="5">
        <f>IFERROR(COUNTIF('📅 Installments AUTO'!C:C,A14),0)</f>
        <v>0</v>
      </c>
      <c r="R14" s="5">
        <f>IFERROR(COUNTIFS('📅 Installments AUTO'!C:C,A14,'📅 Installments AUTO'!N:N,"Paid"),0)</f>
        <v>0</v>
      </c>
      <c r="S14" s="6">
        <f>IFERROR(SUMIF('💳 PAYMENTS Entery'!G:G,A14,'💳 PAYMENTS Entery'!H:H),0)</f>
        <v>0</v>
      </c>
      <c r="T14" s="72">
        <f t="shared" si="4"/>
        <v>3915000</v>
      </c>
      <c r="U14" s="27" t="str">
        <f ca="1">IFERROR(MAXIFS('💳 PAYMENTS Entery'!C:C,'💳 PAYMENTS Entery'!G:G,A14),"")</f>
        <v/>
      </c>
      <c r="V14" s="7">
        <f t="shared" si="5"/>
        <v>0</v>
      </c>
      <c r="W14" s="7"/>
      <c r="X14" s="7"/>
      <c r="Y14" s="22"/>
    </row>
    <row r="15" spans="1:29">
      <c r="A15" s="70">
        <v>302</v>
      </c>
      <c r="B15" s="70" t="s">
        <v>117</v>
      </c>
      <c r="C15" s="121" t="s">
        <v>703</v>
      </c>
      <c r="D15" s="70" t="s">
        <v>713</v>
      </c>
      <c r="E15" s="71">
        <v>302</v>
      </c>
      <c r="F15" s="71">
        <v>756</v>
      </c>
      <c r="G15" s="71">
        <v>7500</v>
      </c>
      <c r="H15" s="72">
        <f t="shared" si="6"/>
        <v>5670000</v>
      </c>
      <c r="I15" s="73"/>
      <c r="J15" s="73"/>
      <c r="K15" s="72">
        <f t="shared" si="3"/>
        <v>5670000</v>
      </c>
      <c r="L15" s="77" t="s">
        <v>142</v>
      </c>
      <c r="M15" s="77" t="str">
        <f>IFERROR(INDEX('👤 Customers'!$A$5:$A$100,MATCH(A15,'👤 Customers'!$K$5:$K$100,0)),"")</f>
        <v/>
      </c>
      <c r="N15" s="2" t="str">
        <f>IFERROR(VLOOKUP(M15,'👤 Customers'!A:C,3,0),"")</f>
        <v/>
      </c>
      <c r="O15" s="100"/>
      <c r="P15" s="17"/>
      <c r="Q15" s="5">
        <f>IFERROR(COUNTIF('📅 Installments AUTO'!C:C,A15),0)</f>
        <v>0</v>
      </c>
      <c r="R15" s="5">
        <f>IFERROR(COUNTIFS('📅 Installments AUTO'!C:C,A15,'📅 Installments AUTO'!N:N,"Paid"),0)</f>
        <v>0</v>
      </c>
      <c r="S15" s="6">
        <f>IFERROR(SUMIF('💳 PAYMENTS Entery'!G:G,A15,'💳 PAYMENTS Entery'!H:H),0)</f>
        <v>0</v>
      </c>
      <c r="T15" s="72">
        <f t="shared" si="4"/>
        <v>5670000</v>
      </c>
      <c r="U15" s="27" t="str">
        <f ca="1">IFERROR(MAXIFS('💳 PAYMENTS Entery'!C:C,'💳 PAYMENTS Entery'!G:G,A15),"")</f>
        <v/>
      </c>
      <c r="V15" s="7">
        <f t="shared" si="5"/>
        <v>0</v>
      </c>
      <c r="W15" s="7"/>
      <c r="X15" s="7"/>
      <c r="Y15" s="22"/>
    </row>
    <row r="16" spans="1:29">
      <c r="A16" s="70">
        <v>401</v>
      </c>
      <c r="B16" s="70" t="s">
        <v>117</v>
      </c>
      <c r="C16" s="121" t="s">
        <v>705</v>
      </c>
      <c r="D16" s="70" t="s">
        <v>714</v>
      </c>
      <c r="E16" s="71">
        <v>401</v>
      </c>
      <c r="F16" s="71">
        <v>522</v>
      </c>
      <c r="G16" s="71">
        <v>7500</v>
      </c>
      <c r="H16" s="72">
        <f t="shared" si="6"/>
        <v>3915000</v>
      </c>
      <c r="I16" s="73"/>
      <c r="J16" s="73"/>
      <c r="K16" s="72">
        <f t="shared" si="3"/>
        <v>3915000</v>
      </c>
      <c r="L16" s="77" t="s">
        <v>142</v>
      </c>
      <c r="M16" s="77" t="str">
        <f>IFERROR(INDEX('👤 Customers'!$A$5:$A$100,MATCH(A16,'👤 Customers'!$K$5:$K$100,0)),"")</f>
        <v>C-004</v>
      </c>
      <c r="N16" s="2" t="str">
        <f>IFERROR(VLOOKUP(M16,'👤 Customers'!A:C,3,0),"")</f>
        <v>aiman</v>
      </c>
      <c r="O16" s="100"/>
      <c r="P16" s="17"/>
      <c r="Q16" s="5">
        <f>IFERROR(COUNTIF('📅 Installments AUTO'!C:C,A16),0)</f>
        <v>0</v>
      </c>
      <c r="R16" s="5">
        <f>IFERROR(COUNTIFS('📅 Installments AUTO'!C:C,A16,'📅 Installments AUTO'!N:N,"Paid"),0)</f>
        <v>0</v>
      </c>
      <c r="S16" s="6">
        <f>IFERROR(SUMIF('💳 PAYMENTS Entery'!G:G,A16,'💳 PAYMENTS Entery'!H:H),0)</f>
        <v>0</v>
      </c>
      <c r="T16" s="72">
        <f t="shared" si="4"/>
        <v>3915000</v>
      </c>
      <c r="U16" s="27" t="str">
        <f ca="1">IFERROR(MAXIFS('💳 PAYMENTS Entery'!C:C,'💳 PAYMENTS Entery'!G:G,A16),"")</f>
        <v/>
      </c>
      <c r="V16" s="7">
        <f t="shared" si="5"/>
        <v>0</v>
      </c>
      <c r="W16" s="7"/>
      <c r="X16" s="7"/>
      <c r="Y16" s="22"/>
    </row>
    <row r="17" spans="1:25">
      <c r="A17" s="70">
        <v>402</v>
      </c>
      <c r="B17" s="70" t="s">
        <v>117</v>
      </c>
      <c r="C17" s="121" t="s">
        <v>703</v>
      </c>
      <c r="D17" s="70" t="s">
        <v>714</v>
      </c>
      <c r="E17" s="71">
        <v>402</v>
      </c>
      <c r="F17" s="71">
        <v>756</v>
      </c>
      <c r="G17" s="71">
        <v>7500</v>
      </c>
      <c r="H17" s="72">
        <f t="shared" si="6"/>
        <v>5670000</v>
      </c>
      <c r="I17" s="73"/>
      <c r="J17" s="73"/>
      <c r="K17" s="72">
        <f t="shared" si="3"/>
        <v>5670000</v>
      </c>
      <c r="L17" s="77" t="s">
        <v>142</v>
      </c>
      <c r="M17" s="77" t="str">
        <f>IFERROR(INDEX('👤 Customers'!$A$5:$A$100,MATCH(A17,'👤 Customers'!$K$5:$K$100,0)),"")</f>
        <v/>
      </c>
      <c r="N17" s="2" t="str">
        <f>IFERROR(VLOOKUP(M17,'👤 Customers'!A:C,3,0),"")</f>
        <v/>
      </c>
      <c r="O17" s="100"/>
      <c r="P17" s="17"/>
      <c r="Q17" s="5">
        <f>IFERROR(COUNTIF('📅 Installments AUTO'!C:C,A17),0)</f>
        <v>0</v>
      </c>
      <c r="R17" s="5">
        <f>IFERROR(COUNTIFS('📅 Installments AUTO'!C:C,A17,'📅 Installments AUTO'!N:N,"Paid"),0)</f>
        <v>0</v>
      </c>
      <c r="S17" s="6">
        <f>IFERROR(SUMIF('💳 PAYMENTS Entery'!G:G,A17,'💳 PAYMENTS Entery'!H:H),0)</f>
        <v>0</v>
      </c>
      <c r="T17" s="72">
        <f t="shared" si="4"/>
        <v>5670000</v>
      </c>
      <c r="U17" s="27" t="str">
        <f ca="1">IFERROR(MAXIFS('💳 PAYMENTS Entery'!C:C,'💳 PAYMENTS Entery'!G:G,A17),"")</f>
        <v/>
      </c>
      <c r="V17" s="7">
        <f t="shared" si="5"/>
        <v>0</v>
      </c>
      <c r="W17" s="7"/>
      <c r="X17" s="7"/>
      <c r="Y17" s="22"/>
    </row>
    <row r="18" spans="1:25">
      <c r="A18" s="70">
        <v>500</v>
      </c>
      <c r="B18" s="70" t="s">
        <v>117</v>
      </c>
      <c r="C18" s="121" t="s">
        <v>851</v>
      </c>
      <c r="D18" s="70" t="s">
        <v>715</v>
      </c>
      <c r="E18" s="71">
        <v>500</v>
      </c>
      <c r="F18" s="71">
        <v>1278</v>
      </c>
      <c r="G18" s="71">
        <v>7500</v>
      </c>
      <c r="H18" s="72">
        <f t="shared" si="6"/>
        <v>9585000</v>
      </c>
      <c r="I18" s="73">
        <v>150000</v>
      </c>
      <c r="J18" s="73">
        <v>25000</v>
      </c>
      <c r="K18" s="72">
        <f t="shared" si="3"/>
        <v>9710000</v>
      </c>
      <c r="L18" s="77" t="s">
        <v>142</v>
      </c>
      <c r="M18" s="120" t="s">
        <v>778</v>
      </c>
      <c r="N18" s="2" t="str">
        <f>IFERROR(VLOOKUP(M18,'👤 Customers'!A:C,3,0),"")</f>
        <v>aiman</v>
      </c>
      <c r="O18" s="102" t="s">
        <v>853</v>
      </c>
      <c r="P18" s="17"/>
      <c r="Q18" s="5">
        <f>IFERROR(COUNTIF('📅 Installments AUTO'!C:C,A18),0)</f>
        <v>0</v>
      </c>
      <c r="R18" s="5">
        <f>IFERROR(COUNTIFS('📅 Installments AUTO'!C:C,A18,'📅 Installments AUTO'!N:N,"Paid"),0)</f>
        <v>0</v>
      </c>
      <c r="S18" s="6">
        <f>IFERROR(SUMIF('💳 PAYMENTS Entery'!G:G,A18,'💳 PAYMENTS Entery'!H:H),0)</f>
        <v>0</v>
      </c>
      <c r="T18" s="72">
        <f t="shared" si="4"/>
        <v>9585000</v>
      </c>
      <c r="U18" s="27" t="str">
        <f ca="1">IFERROR(MAXIFS('💳 PAYMENTS Entery'!C:C,'💳 PAYMENTS Entery'!G:G,A18),"")</f>
        <v/>
      </c>
      <c r="V18" s="7">
        <f t="shared" si="5"/>
        <v>0</v>
      </c>
      <c r="W18" s="102" t="s">
        <v>852</v>
      </c>
      <c r="X18" s="102" t="s">
        <v>852</v>
      </c>
      <c r="Y18" s="22" t="s">
        <v>661</v>
      </c>
    </row>
    <row r="19" spans="1:25">
      <c r="L19" s="20"/>
    </row>
    <row r="20" spans="1:25">
      <c r="L20" s="20"/>
    </row>
    <row r="21" spans="1:25" ht="15.75" customHeight="1">
      <c r="L21" s="20"/>
    </row>
    <row r="22" spans="1:25" ht="15.75" customHeight="1">
      <c r="L22" s="20"/>
    </row>
    <row r="23" spans="1:25" ht="15.75" customHeight="1">
      <c r="L23" s="20"/>
    </row>
    <row r="24" spans="1:25" ht="15.75" customHeight="1">
      <c r="L24" s="20"/>
    </row>
    <row r="25" spans="1:25" ht="15.75" customHeight="1">
      <c r="L25" s="20"/>
    </row>
    <row r="26" spans="1:25" ht="15.75" customHeight="1">
      <c r="L26" s="20"/>
    </row>
    <row r="27" spans="1:25" ht="15.75" customHeight="1">
      <c r="L27" s="20"/>
    </row>
    <row r="28" spans="1:25" ht="15.75" customHeight="1">
      <c r="L28" s="20"/>
    </row>
    <row r="29" spans="1:25" ht="15.75" customHeight="1">
      <c r="L29" s="20"/>
    </row>
    <row r="30" spans="1:25" ht="15.75" customHeight="1">
      <c r="L30" s="20"/>
    </row>
    <row r="31" spans="1:25" ht="15.75" customHeight="1">
      <c r="L31" s="20"/>
    </row>
    <row r="32" spans="1:25" ht="15.75" customHeight="1">
      <c r="L32" s="20"/>
    </row>
    <row r="33" spans="12:12" ht="15.75" customHeight="1">
      <c r="L33" s="20"/>
    </row>
    <row r="34" spans="12:12" ht="15.75" customHeight="1">
      <c r="L34" s="20"/>
    </row>
    <row r="35" spans="12:12" ht="15.75" customHeight="1">
      <c r="L35" s="20"/>
    </row>
    <row r="36" spans="12:12" ht="15.75" customHeight="1">
      <c r="L36" s="20"/>
    </row>
    <row r="37" spans="12:12" ht="15.75" customHeight="1">
      <c r="L37" s="20"/>
    </row>
    <row r="38" spans="12:12" ht="15.75" customHeight="1">
      <c r="L38" s="20"/>
    </row>
    <row r="39" spans="12:12" ht="15.75" customHeight="1">
      <c r="L39" s="20"/>
    </row>
    <row r="40" spans="12:12" ht="15.75" customHeight="1">
      <c r="L40" s="20"/>
    </row>
    <row r="41" spans="12:12" ht="15.75" customHeight="1">
      <c r="L41" s="20"/>
    </row>
    <row r="42" spans="12:12" ht="15.75" customHeight="1">
      <c r="L42" s="20"/>
    </row>
    <row r="43" spans="12:12" ht="15.75" customHeight="1">
      <c r="L43" s="20"/>
    </row>
    <row r="44" spans="12:12" ht="15.75" customHeight="1">
      <c r="L44" s="20"/>
    </row>
    <row r="45" spans="12:12" ht="15.75" customHeight="1">
      <c r="L45" s="20"/>
    </row>
    <row r="46" spans="12:12" ht="15.75" customHeight="1">
      <c r="L46" s="20"/>
    </row>
    <row r="47" spans="12:12" ht="15.75" customHeight="1">
      <c r="L47" s="20"/>
    </row>
    <row r="48" spans="12:12" ht="15.75" customHeight="1">
      <c r="L48" s="20"/>
    </row>
    <row r="49" spans="12:12" ht="15.75" customHeight="1">
      <c r="L49" s="20"/>
    </row>
    <row r="50" spans="12:12" ht="15.75" customHeight="1">
      <c r="L50" s="20"/>
    </row>
    <row r="51" spans="12:12" ht="15.75" customHeight="1">
      <c r="L51" s="20"/>
    </row>
    <row r="52" spans="12:12" ht="15.75" customHeight="1">
      <c r="L52" s="20"/>
    </row>
    <row r="53" spans="12:12" ht="15.75" customHeight="1">
      <c r="L53" s="20"/>
    </row>
    <row r="54" spans="12:12" ht="15.75" customHeight="1">
      <c r="L54" s="20"/>
    </row>
    <row r="55" spans="12:12" ht="15.75" customHeight="1">
      <c r="L55" s="20"/>
    </row>
    <row r="56" spans="12:12" ht="15.75" customHeight="1">
      <c r="L56" s="20"/>
    </row>
    <row r="57" spans="12:12" ht="15.75" customHeight="1">
      <c r="L57" s="20"/>
    </row>
    <row r="58" spans="12:12" ht="15.75" customHeight="1">
      <c r="L58" s="20"/>
    </row>
    <row r="59" spans="12:12" ht="15.75" customHeight="1">
      <c r="L59" s="20"/>
    </row>
    <row r="60" spans="12:12" ht="15.75" customHeight="1">
      <c r="L60" s="20"/>
    </row>
    <row r="61" spans="12:12" ht="15.75" customHeight="1">
      <c r="L61" s="20"/>
    </row>
    <row r="62" spans="12:12" ht="15.75" customHeight="1">
      <c r="L62" s="20"/>
    </row>
    <row r="63" spans="12:12" ht="15.75" customHeight="1">
      <c r="L63" s="20"/>
    </row>
    <row r="64" spans="12:12" ht="15.75" customHeight="1">
      <c r="L64" s="20"/>
    </row>
    <row r="65" spans="12:12" ht="15.75" customHeight="1">
      <c r="L65" s="20"/>
    </row>
    <row r="66" spans="12:12" ht="15.75" customHeight="1">
      <c r="L66" s="20"/>
    </row>
    <row r="67" spans="12:12" ht="15.75" customHeight="1">
      <c r="L67" s="20"/>
    </row>
    <row r="68" spans="12:12" ht="15.75" customHeight="1">
      <c r="L68" s="20"/>
    </row>
    <row r="69" spans="12:12" ht="15.75" customHeight="1">
      <c r="L69" s="20"/>
    </row>
    <row r="70" spans="12:12" ht="15.75" customHeight="1">
      <c r="L70" s="20"/>
    </row>
    <row r="71" spans="12:12" ht="15.75" customHeight="1">
      <c r="L71" s="20"/>
    </row>
    <row r="72" spans="12:12" ht="15.75" customHeight="1">
      <c r="L72" s="20"/>
    </row>
    <row r="73" spans="12:12" ht="15.75" customHeight="1">
      <c r="L73" s="20"/>
    </row>
    <row r="74" spans="12:12" ht="15.75" customHeight="1">
      <c r="L74" s="20"/>
    </row>
    <row r="75" spans="12:12" ht="15.75" customHeight="1">
      <c r="L75" s="20"/>
    </row>
    <row r="76" spans="12:12" ht="15.75" customHeight="1">
      <c r="L76" s="20"/>
    </row>
    <row r="77" spans="12:12" ht="15.75" customHeight="1">
      <c r="L77" s="20"/>
    </row>
    <row r="78" spans="12:12" ht="15.75" customHeight="1">
      <c r="L78" s="20"/>
    </row>
    <row r="79" spans="12:12" ht="15.75" customHeight="1">
      <c r="L79" s="20"/>
    </row>
    <row r="80" spans="12:12" ht="15.75" customHeight="1">
      <c r="L80" s="20"/>
    </row>
    <row r="81" spans="12:12" ht="15.75" customHeight="1">
      <c r="L81" s="20"/>
    </row>
    <row r="82" spans="12:12" ht="15.75" customHeight="1">
      <c r="L82" s="20"/>
    </row>
    <row r="83" spans="12:12" ht="15.75" customHeight="1">
      <c r="L83" s="20"/>
    </row>
    <row r="84" spans="12:12" ht="15.75" customHeight="1">
      <c r="L84" s="20"/>
    </row>
    <row r="85" spans="12:12" ht="15.75" customHeight="1">
      <c r="L85" s="20"/>
    </row>
    <row r="86" spans="12:12" ht="15.75" customHeight="1">
      <c r="L86" s="20"/>
    </row>
    <row r="87" spans="12:12" ht="15.75" customHeight="1">
      <c r="L87" s="20"/>
    </row>
    <row r="88" spans="12:12" ht="15.75" customHeight="1">
      <c r="L88" s="20"/>
    </row>
    <row r="89" spans="12:12" ht="15.75" customHeight="1">
      <c r="L89" s="20"/>
    </row>
    <row r="90" spans="12:12" ht="15.75" customHeight="1">
      <c r="L90" s="20"/>
    </row>
    <row r="91" spans="12:12" ht="15.75" customHeight="1">
      <c r="L91" s="20"/>
    </row>
    <row r="92" spans="12:12" ht="15.75" customHeight="1">
      <c r="L92" s="20"/>
    </row>
    <row r="93" spans="12:12" ht="15.75" customHeight="1">
      <c r="L93" s="20"/>
    </row>
    <row r="94" spans="12:12" ht="15.75" customHeight="1">
      <c r="L94" s="20"/>
    </row>
    <row r="95" spans="12:12" ht="15.75" customHeight="1">
      <c r="L95" s="20"/>
    </row>
    <row r="96" spans="12:12" ht="15.75" customHeight="1">
      <c r="L96" s="20"/>
    </row>
    <row r="97" spans="12:12" ht="15.75" customHeight="1">
      <c r="L97" s="20"/>
    </row>
    <row r="98" spans="12:12" ht="15.75" customHeight="1">
      <c r="L98" s="20"/>
    </row>
    <row r="99" spans="12:12" ht="15.75" customHeight="1">
      <c r="L99" s="20"/>
    </row>
    <row r="100" spans="12:12" ht="15.75" customHeight="1">
      <c r="L100" s="20"/>
    </row>
    <row r="101" spans="12:12" ht="15.75" customHeight="1">
      <c r="L101" s="20"/>
    </row>
    <row r="102" spans="12:12" ht="15.75" customHeight="1">
      <c r="L102" s="20"/>
    </row>
    <row r="103" spans="12:12" ht="15.75" customHeight="1">
      <c r="L103" s="20"/>
    </row>
    <row r="104" spans="12:12" ht="15.75" customHeight="1">
      <c r="L104" s="20"/>
    </row>
    <row r="105" spans="12:12" ht="15.75" customHeight="1">
      <c r="L105" s="20"/>
    </row>
    <row r="106" spans="12:12" ht="15.75" customHeight="1">
      <c r="L106" s="20"/>
    </row>
    <row r="107" spans="12:12" ht="15.75" customHeight="1">
      <c r="L107" s="20"/>
    </row>
    <row r="108" spans="12:12" ht="15.75" customHeight="1">
      <c r="L108" s="20"/>
    </row>
    <row r="109" spans="12:12" ht="15.75" customHeight="1">
      <c r="L109" s="20"/>
    </row>
    <row r="110" spans="12:12" ht="15.75" customHeight="1">
      <c r="L110" s="20"/>
    </row>
    <row r="111" spans="12:12" ht="15.75" customHeight="1">
      <c r="L111" s="20"/>
    </row>
    <row r="112" spans="12:12" ht="15.75" customHeight="1">
      <c r="L112" s="20"/>
    </row>
    <row r="113" spans="12:12" ht="15.75" customHeight="1">
      <c r="L113" s="20"/>
    </row>
    <row r="114" spans="12:12" ht="15.75" customHeight="1">
      <c r="L114" s="20"/>
    </row>
    <row r="115" spans="12:12" ht="15.75" customHeight="1">
      <c r="L115" s="20"/>
    </row>
    <row r="116" spans="12:12" ht="15.75" customHeight="1">
      <c r="L116" s="20"/>
    </row>
    <row r="117" spans="12:12" ht="15.75" customHeight="1">
      <c r="L117" s="20"/>
    </row>
    <row r="118" spans="12:12" ht="15.75" customHeight="1">
      <c r="L118" s="20"/>
    </row>
    <row r="119" spans="12:12" ht="15.75" customHeight="1">
      <c r="L119" s="20"/>
    </row>
    <row r="120" spans="12:12" ht="15.75" customHeight="1">
      <c r="L120" s="20"/>
    </row>
    <row r="121" spans="12:12" ht="15.75" customHeight="1">
      <c r="L121" s="20"/>
    </row>
    <row r="122" spans="12:12" ht="15.75" customHeight="1">
      <c r="L122" s="20"/>
    </row>
    <row r="123" spans="12:12" ht="15.75" customHeight="1">
      <c r="L123" s="20"/>
    </row>
    <row r="124" spans="12:12" ht="15.75" customHeight="1">
      <c r="L124" s="20"/>
    </row>
    <row r="125" spans="12:12" ht="15.75" customHeight="1">
      <c r="L125" s="20"/>
    </row>
    <row r="126" spans="12:12" ht="15.75" customHeight="1">
      <c r="L126" s="20"/>
    </row>
    <row r="127" spans="12:12" ht="15.75" customHeight="1">
      <c r="L127" s="20"/>
    </row>
    <row r="128" spans="12:12" ht="15.75" customHeight="1">
      <c r="L128" s="20"/>
    </row>
    <row r="129" spans="12:12" ht="15.75" customHeight="1">
      <c r="L129" s="20"/>
    </row>
    <row r="130" spans="12:12" ht="15.75" customHeight="1">
      <c r="L130" s="20"/>
    </row>
    <row r="131" spans="12:12" ht="15.75" customHeight="1">
      <c r="L131" s="20"/>
    </row>
    <row r="132" spans="12:12" ht="15.75" customHeight="1">
      <c r="L132" s="20"/>
    </row>
    <row r="133" spans="12:12" ht="15.75" customHeight="1">
      <c r="L133" s="20"/>
    </row>
    <row r="134" spans="12:12" ht="15.75" customHeight="1">
      <c r="L134" s="20"/>
    </row>
    <row r="135" spans="12:12" ht="15.75" customHeight="1">
      <c r="L135" s="20"/>
    </row>
    <row r="136" spans="12:12" ht="15.75" customHeight="1">
      <c r="L136" s="20"/>
    </row>
    <row r="137" spans="12:12" ht="15.75" customHeight="1">
      <c r="L137" s="20"/>
    </row>
    <row r="138" spans="12:12" ht="15.75" customHeight="1">
      <c r="L138" s="20"/>
    </row>
    <row r="139" spans="12:12" ht="15.75" customHeight="1">
      <c r="L139" s="20"/>
    </row>
    <row r="140" spans="12:12" ht="15.75" customHeight="1">
      <c r="L140" s="20"/>
    </row>
    <row r="141" spans="12:12" ht="15.75" customHeight="1">
      <c r="L141" s="20"/>
    </row>
    <row r="142" spans="12:12" ht="15.75" customHeight="1">
      <c r="L142" s="20"/>
    </row>
    <row r="143" spans="12:12" ht="15.75" customHeight="1">
      <c r="L143" s="20"/>
    </row>
    <row r="144" spans="12:12" ht="15.75" customHeight="1">
      <c r="L144" s="20"/>
    </row>
    <row r="145" spans="12:12" ht="15.75" customHeight="1">
      <c r="L145" s="20"/>
    </row>
    <row r="146" spans="12:12" ht="15.75" customHeight="1">
      <c r="L146" s="20"/>
    </row>
    <row r="147" spans="12:12" ht="15.75" customHeight="1">
      <c r="L147" s="20"/>
    </row>
    <row r="148" spans="12:12" ht="15.75" customHeight="1">
      <c r="L148" s="20"/>
    </row>
    <row r="149" spans="12:12" ht="15.75" customHeight="1">
      <c r="L149" s="20"/>
    </row>
    <row r="150" spans="12:12" ht="15.75" customHeight="1">
      <c r="L150" s="20"/>
    </row>
    <row r="151" spans="12:12" ht="15.75" customHeight="1">
      <c r="L151" s="20"/>
    </row>
    <row r="152" spans="12:12" ht="15.75" customHeight="1">
      <c r="L152" s="20"/>
    </row>
    <row r="153" spans="12:12" ht="15.75" customHeight="1">
      <c r="L153" s="20"/>
    </row>
    <row r="154" spans="12:12" ht="15.75" customHeight="1">
      <c r="L154" s="20"/>
    </row>
    <row r="155" spans="12:12" ht="15.75" customHeight="1">
      <c r="L155" s="20"/>
    </row>
    <row r="156" spans="12:12" ht="15.75" customHeight="1">
      <c r="L156" s="20"/>
    </row>
    <row r="157" spans="12:12" ht="15.75" customHeight="1">
      <c r="L157" s="20"/>
    </row>
    <row r="158" spans="12:12" ht="15.75" customHeight="1">
      <c r="L158" s="20"/>
    </row>
    <row r="159" spans="12:12" ht="15.75" customHeight="1">
      <c r="L159" s="20"/>
    </row>
    <row r="160" spans="12:12" ht="15.75" customHeight="1">
      <c r="L160" s="20"/>
    </row>
    <row r="161" spans="12:12" ht="15.75" customHeight="1">
      <c r="L161" s="20"/>
    </row>
    <row r="162" spans="12:12" ht="15.75" customHeight="1">
      <c r="L162" s="20"/>
    </row>
    <row r="163" spans="12:12" ht="15.75" customHeight="1">
      <c r="L163" s="20"/>
    </row>
    <row r="164" spans="12:12" ht="15.75" customHeight="1">
      <c r="L164" s="20"/>
    </row>
    <row r="165" spans="12:12" ht="15.75" customHeight="1">
      <c r="L165" s="20"/>
    </row>
    <row r="166" spans="12:12" ht="15.75" customHeight="1">
      <c r="L166" s="20"/>
    </row>
    <row r="167" spans="12:12" ht="15.75" customHeight="1">
      <c r="L167" s="20"/>
    </row>
    <row r="168" spans="12:12" ht="15.75" customHeight="1">
      <c r="L168" s="20"/>
    </row>
    <row r="169" spans="12:12" ht="15.75" customHeight="1">
      <c r="L169" s="20"/>
    </row>
    <row r="170" spans="12:12" ht="15.75" customHeight="1">
      <c r="L170" s="20"/>
    </row>
    <row r="171" spans="12:12" ht="15.75" customHeight="1">
      <c r="L171" s="20"/>
    </row>
    <row r="172" spans="12:12" ht="15.75" customHeight="1">
      <c r="L172" s="20"/>
    </row>
    <row r="173" spans="12:12" ht="15.75" customHeight="1">
      <c r="L173" s="20"/>
    </row>
    <row r="174" spans="12:12" ht="15.75" customHeight="1">
      <c r="L174" s="20"/>
    </row>
    <row r="175" spans="12:12" ht="15.75" customHeight="1">
      <c r="L175" s="20"/>
    </row>
    <row r="176" spans="12:12" ht="15.75" customHeight="1">
      <c r="L176" s="20"/>
    </row>
    <row r="177" spans="12:12" ht="15.75" customHeight="1">
      <c r="L177" s="20"/>
    </row>
    <row r="178" spans="12:12" ht="15.75" customHeight="1">
      <c r="L178" s="20"/>
    </row>
    <row r="179" spans="12:12" ht="15.75" customHeight="1">
      <c r="L179" s="20"/>
    </row>
    <row r="180" spans="12:12" ht="15.75" customHeight="1">
      <c r="L180" s="20"/>
    </row>
    <row r="181" spans="12:12" ht="15.75" customHeight="1">
      <c r="L181" s="20"/>
    </row>
    <row r="182" spans="12:12" ht="15.75" customHeight="1">
      <c r="L182" s="20"/>
    </row>
    <row r="183" spans="12:12" ht="15.75" customHeight="1">
      <c r="L183" s="20"/>
    </row>
    <row r="184" spans="12:12" ht="15.75" customHeight="1">
      <c r="L184" s="20"/>
    </row>
    <row r="185" spans="12:12" ht="15.75" customHeight="1">
      <c r="L185" s="20"/>
    </row>
    <row r="186" spans="12:12" ht="15.75" customHeight="1">
      <c r="L186" s="20"/>
    </row>
    <row r="187" spans="12:12" ht="15.75" customHeight="1">
      <c r="L187" s="20"/>
    </row>
    <row r="188" spans="12:12" ht="15.75" customHeight="1">
      <c r="L188" s="20"/>
    </row>
    <row r="189" spans="12:12" ht="15.75" customHeight="1">
      <c r="L189" s="20"/>
    </row>
    <row r="190" spans="12:12" ht="15.75" customHeight="1">
      <c r="L190" s="20"/>
    </row>
    <row r="191" spans="12:12" ht="15.75" customHeight="1">
      <c r="L191" s="20"/>
    </row>
    <row r="192" spans="12:12" ht="15.75" customHeight="1">
      <c r="L192" s="20"/>
    </row>
    <row r="193" spans="12:12" ht="15.75" customHeight="1">
      <c r="L193" s="20"/>
    </row>
    <row r="194" spans="12:12" ht="15.75" customHeight="1">
      <c r="L194" s="20"/>
    </row>
    <row r="195" spans="12:12" ht="15.75" customHeight="1">
      <c r="L195" s="20"/>
    </row>
    <row r="196" spans="12:12" ht="15.75" customHeight="1">
      <c r="L196" s="20"/>
    </row>
    <row r="197" spans="12:12" ht="15.75" customHeight="1">
      <c r="L197" s="20"/>
    </row>
    <row r="198" spans="12:12" ht="15.75" customHeight="1">
      <c r="L198" s="20"/>
    </row>
    <row r="199" spans="12:12" ht="15.75" customHeight="1">
      <c r="L199" s="20"/>
    </row>
    <row r="200" spans="12:12" ht="15.75" customHeight="1">
      <c r="L200" s="20"/>
    </row>
    <row r="201" spans="12:12" ht="15.75" customHeight="1">
      <c r="L201" s="20"/>
    </row>
    <row r="202" spans="12:12" ht="15.75" customHeight="1">
      <c r="L202" s="20"/>
    </row>
    <row r="203" spans="12:12" ht="15.75" customHeight="1">
      <c r="L203" s="20"/>
    </row>
    <row r="204" spans="12:12" ht="15.75" customHeight="1">
      <c r="L204" s="20"/>
    </row>
    <row r="205" spans="12:12" ht="15.75" customHeight="1">
      <c r="L205" s="20"/>
    </row>
    <row r="206" spans="12:12" ht="15.75" customHeight="1">
      <c r="L206" s="20"/>
    </row>
    <row r="207" spans="12:12" ht="15.75" customHeight="1">
      <c r="L207" s="20"/>
    </row>
    <row r="208" spans="12:12" ht="15.75" customHeight="1">
      <c r="L208" s="20"/>
    </row>
    <row r="209" spans="12:12" ht="15.75" customHeight="1">
      <c r="L209" s="20"/>
    </row>
    <row r="210" spans="12:12" ht="15.75" customHeight="1">
      <c r="L210" s="20"/>
    </row>
    <row r="211" spans="12:12" ht="15.75" customHeight="1">
      <c r="L211" s="20"/>
    </row>
    <row r="212" spans="12:12" ht="15.75" customHeight="1">
      <c r="L212" s="20"/>
    </row>
    <row r="213" spans="12:12" ht="15.75" customHeight="1">
      <c r="L213" s="20"/>
    </row>
    <row r="214" spans="12:12" ht="15.75" customHeight="1">
      <c r="L214" s="20"/>
    </row>
    <row r="215" spans="12:12" ht="15.75" customHeight="1">
      <c r="L215" s="20"/>
    </row>
    <row r="216" spans="12:12" ht="15.75" customHeight="1">
      <c r="L216" s="20"/>
    </row>
    <row r="217" spans="12:12" ht="15.75" customHeight="1">
      <c r="L217" s="20"/>
    </row>
    <row r="218" spans="12:12" ht="15.75" customHeight="1">
      <c r="L218" s="20"/>
    </row>
    <row r="219" spans="12:12" ht="15.75" customHeight="1">
      <c r="L219" s="20"/>
    </row>
    <row r="220" spans="12:12" ht="15.75" customHeight="1">
      <c r="L220" s="20"/>
    </row>
    <row r="221" spans="12:12" ht="15.75" customHeight="1">
      <c r="L221" s="20"/>
    </row>
    <row r="222" spans="12:12" ht="15.75" customHeight="1">
      <c r="L222" s="20"/>
    </row>
    <row r="223" spans="12:12" ht="15.75" customHeight="1">
      <c r="L223" s="20"/>
    </row>
    <row r="224" spans="12:12" ht="15.75" customHeight="1">
      <c r="L224" s="20"/>
    </row>
    <row r="225" spans="12:12" ht="15.75" customHeight="1">
      <c r="L225" s="20"/>
    </row>
    <row r="226" spans="12:12" ht="15.75" customHeight="1">
      <c r="L226" s="20"/>
    </row>
    <row r="227" spans="12:12" ht="15.75" customHeight="1">
      <c r="L227" s="20"/>
    </row>
    <row r="228" spans="12:12" ht="15.75" customHeight="1">
      <c r="L228" s="20"/>
    </row>
    <row r="229" spans="12:12" ht="15.75" customHeight="1">
      <c r="L229" s="20"/>
    </row>
    <row r="230" spans="12:12" ht="15.75" customHeight="1">
      <c r="L230" s="20"/>
    </row>
    <row r="231" spans="12:12" ht="15.75" customHeight="1">
      <c r="L231" s="20"/>
    </row>
    <row r="232" spans="12:12" ht="15.75" customHeight="1">
      <c r="L232" s="20"/>
    </row>
    <row r="233" spans="12:12" ht="15.75" customHeight="1">
      <c r="L233" s="20"/>
    </row>
    <row r="234" spans="12:12" ht="15.75" customHeight="1">
      <c r="L234" s="20"/>
    </row>
    <row r="235" spans="12:12" ht="15.75" customHeight="1">
      <c r="L235" s="20"/>
    </row>
    <row r="236" spans="12:12" ht="15.75" customHeight="1">
      <c r="L236" s="20"/>
    </row>
    <row r="237" spans="12:12" ht="15.75" customHeight="1">
      <c r="L237" s="20"/>
    </row>
    <row r="238" spans="12:12" ht="15.75" customHeight="1">
      <c r="L238" s="20"/>
    </row>
    <row r="239" spans="12:12" ht="15.75" customHeight="1">
      <c r="L239" s="20"/>
    </row>
    <row r="240" spans="12:12" ht="15.75" customHeight="1">
      <c r="L240" s="20"/>
    </row>
    <row r="241" spans="12:12" ht="15.75" customHeight="1">
      <c r="L241" s="20"/>
    </row>
    <row r="242" spans="12:12" ht="15.75" customHeight="1">
      <c r="L242" s="20"/>
    </row>
    <row r="243" spans="12:12" ht="15.75" customHeight="1">
      <c r="L243" s="20"/>
    </row>
    <row r="244" spans="12:12" ht="15.75" customHeight="1">
      <c r="L244" s="20"/>
    </row>
    <row r="245" spans="12:12" ht="15.75" customHeight="1">
      <c r="L245" s="20"/>
    </row>
    <row r="246" spans="12:12" ht="15.75" customHeight="1">
      <c r="L246" s="20"/>
    </row>
    <row r="247" spans="12:12" ht="15.75" customHeight="1">
      <c r="L247" s="20"/>
    </row>
    <row r="248" spans="12:12" ht="15.75" customHeight="1">
      <c r="L248" s="20"/>
    </row>
    <row r="249" spans="12:12" ht="15.75" customHeight="1">
      <c r="L249" s="20"/>
    </row>
    <row r="250" spans="12:12" ht="15.75" customHeight="1">
      <c r="L250" s="20"/>
    </row>
    <row r="251" spans="12:12" ht="15.75" customHeight="1">
      <c r="L251" s="20"/>
    </row>
    <row r="252" spans="12:12" ht="15.75" customHeight="1">
      <c r="L252" s="20"/>
    </row>
    <row r="253" spans="12:12" ht="15.75" customHeight="1">
      <c r="L253" s="20"/>
    </row>
    <row r="254" spans="12:12" ht="15.75" customHeight="1">
      <c r="L254" s="20"/>
    </row>
    <row r="255" spans="12:12" ht="15.75" customHeight="1">
      <c r="L255" s="20"/>
    </row>
    <row r="256" spans="12:12" ht="15.75" customHeight="1">
      <c r="L256" s="20"/>
    </row>
    <row r="257" spans="12:12" ht="15.75" customHeight="1">
      <c r="L257" s="20"/>
    </row>
    <row r="258" spans="12:12" ht="15.75" customHeight="1">
      <c r="L258" s="20"/>
    </row>
    <row r="259" spans="12:12" ht="15.75" customHeight="1">
      <c r="L259" s="20"/>
    </row>
    <row r="260" spans="12:12" ht="15.75" customHeight="1">
      <c r="L260" s="20"/>
    </row>
    <row r="261" spans="12:12" ht="15.75" customHeight="1">
      <c r="L261" s="20"/>
    </row>
    <row r="262" spans="12:12" ht="15.75" customHeight="1">
      <c r="L262" s="20"/>
    </row>
    <row r="263" spans="12:12" ht="15.75" customHeight="1">
      <c r="L263" s="20"/>
    </row>
    <row r="264" spans="12:12" ht="15.75" customHeight="1">
      <c r="L264" s="20"/>
    </row>
    <row r="265" spans="12:12" ht="15.75" customHeight="1">
      <c r="L265" s="20"/>
    </row>
    <row r="266" spans="12:12" ht="15.75" customHeight="1">
      <c r="L266" s="20"/>
    </row>
    <row r="267" spans="12:12" ht="15.75" customHeight="1">
      <c r="L267" s="20"/>
    </row>
    <row r="268" spans="12:12" ht="15.75" customHeight="1">
      <c r="L268" s="20"/>
    </row>
    <row r="269" spans="12:12" ht="15.75" customHeight="1">
      <c r="L269" s="20"/>
    </row>
    <row r="270" spans="12:12" ht="15.75" customHeight="1">
      <c r="L270" s="20"/>
    </row>
    <row r="271" spans="12:12" ht="15.75" customHeight="1">
      <c r="L271" s="20"/>
    </row>
    <row r="272" spans="12:12" ht="15.75" customHeight="1">
      <c r="L272" s="20"/>
    </row>
    <row r="273" spans="12:12" ht="15.75" customHeight="1">
      <c r="L273" s="20"/>
    </row>
    <row r="274" spans="12:12" ht="15.75" customHeight="1">
      <c r="L274" s="20"/>
    </row>
    <row r="275" spans="12:12" ht="15.75" customHeight="1">
      <c r="L275" s="20"/>
    </row>
    <row r="276" spans="12:12" ht="15.75" customHeight="1">
      <c r="L276" s="20"/>
    </row>
    <row r="277" spans="12:12" ht="15.75" customHeight="1">
      <c r="L277" s="20"/>
    </row>
    <row r="278" spans="12:12" ht="15.75" customHeight="1">
      <c r="L278" s="20"/>
    </row>
    <row r="279" spans="12:12" ht="15.75" customHeight="1">
      <c r="L279" s="20"/>
    </row>
    <row r="280" spans="12:12" ht="15.75" customHeight="1">
      <c r="L280" s="20"/>
    </row>
    <row r="281" spans="12:12" ht="15.75" customHeight="1">
      <c r="L281" s="20"/>
    </row>
    <row r="282" spans="12:12" ht="15.75" customHeight="1">
      <c r="L282" s="20"/>
    </row>
    <row r="283" spans="12:12" ht="15.75" customHeight="1">
      <c r="L283" s="20"/>
    </row>
    <row r="284" spans="12:12" ht="15.75" customHeight="1">
      <c r="L284" s="20"/>
    </row>
    <row r="285" spans="12:12" ht="15.75" customHeight="1">
      <c r="L285" s="20"/>
    </row>
    <row r="286" spans="12:12" ht="15.75" customHeight="1">
      <c r="L286" s="20"/>
    </row>
    <row r="287" spans="12:12" ht="15.75" customHeight="1">
      <c r="L287" s="20"/>
    </row>
    <row r="288" spans="12:12" ht="15.75" customHeight="1">
      <c r="L288" s="20"/>
    </row>
    <row r="289" spans="12:12" ht="15.75" customHeight="1">
      <c r="L289" s="20"/>
    </row>
    <row r="290" spans="12:12" ht="15.75" customHeight="1">
      <c r="L290" s="20"/>
    </row>
    <row r="291" spans="12:12" ht="15.75" customHeight="1">
      <c r="L291" s="20"/>
    </row>
    <row r="292" spans="12:12" ht="15.75" customHeight="1">
      <c r="L292" s="20"/>
    </row>
    <row r="293" spans="12:12" ht="15.75" customHeight="1">
      <c r="L293" s="20"/>
    </row>
    <row r="294" spans="12:12" ht="15.75" customHeight="1">
      <c r="L294" s="20"/>
    </row>
    <row r="295" spans="12:12" ht="15.75" customHeight="1">
      <c r="L295" s="20"/>
    </row>
    <row r="296" spans="12:12" ht="15.75" customHeight="1">
      <c r="L296" s="20"/>
    </row>
    <row r="297" spans="12:12" ht="15.75" customHeight="1">
      <c r="L297" s="20"/>
    </row>
    <row r="298" spans="12:12" ht="15.75" customHeight="1">
      <c r="L298" s="20"/>
    </row>
    <row r="299" spans="12:12" ht="15.75" customHeight="1">
      <c r="L299" s="20"/>
    </row>
    <row r="300" spans="12:12" ht="15.75" customHeight="1">
      <c r="L300" s="20"/>
    </row>
    <row r="301" spans="12:12" ht="15.75" customHeight="1">
      <c r="L301" s="20"/>
    </row>
    <row r="302" spans="12:12" ht="15.75" customHeight="1">
      <c r="L302" s="20"/>
    </row>
    <row r="303" spans="12:12" ht="15.75" customHeight="1">
      <c r="L303" s="20"/>
    </row>
    <row r="304" spans="12:12" ht="15.75" customHeight="1">
      <c r="L304" s="20"/>
    </row>
    <row r="305" spans="12:12" ht="15.75" customHeight="1">
      <c r="L305" s="20"/>
    </row>
    <row r="306" spans="12:12" ht="15.75" customHeight="1">
      <c r="L306" s="20"/>
    </row>
    <row r="307" spans="12:12" ht="15.75" customHeight="1">
      <c r="L307" s="20"/>
    </row>
    <row r="308" spans="12:12" ht="15.75" customHeight="1">
      <c r="L308" s="20"/>
    </row>
    <row r="309" spans="12:12" ht="15.75" customHeight="1">
      <c r="L309" s="20"/>
    </row>
    <row r="310" spans="12:12" ht="15.75" customHeight="1">
      <c r="L310" s="20"/>
    </row>
    <row r="311" spans="12:12" ht="15.75" customHeight="1">
      <c r="L311" s="20"/>
    </row>
    <row r="312" spans="12:12" ht="15.75" customHeight="1">
      <c r="L312" s="20"/>
    </row>
    <row r="313" spans="12:12" ht="15.75" customHeight="1">
      <c r="L313" s="20"/>
    </row>
    <row r="314" spans="12:12" ht="15.75" customHeight="1">
      <c r="L314" s="20"/>
    </row>
    <row r="315" spans="12:12" ht="15.75" customHeight="1">
      <c r="L315" s="20"/>
    </row>
    <row r="316" spans="12:12" ht="15.75" customHeight="1">
      <c r="L316" s="20"/>
    </row>
    <row r="317" spans="12:12" ht="15.75" customHeight="1">
      <c r="L317" s="20"/>
    </row>
    <row r="318" spans="12:12" ht="15.75" customHeight="1">
      <c r="L318" s="20"/>
    </row>
    <row r="319" spans="12:12" ht="15.75" customHeight="1">
      <c r="L319" s="20"/>
    </row>
    <row r="320" spans="12:12" ht="15.75" customHeight="1">
      <c r="L320" s="20"/>
    </row>
    <row r="321" spans="12:12" ht="15.75" customHeight="1">
      <c r="L321" s="20"/>
    </row>
    <row r="322" spans="12:12" ht="15.75" customHeight="1">
      <c r="L322" s="20"/>
    </row>
    <row r="323" spans="12:12" ht="15.75" customHeight="1">
      <c r="L323" s="20"/>
    </row>
    <row r="324" spans="12:12" ht="15.75" customHeight="1">
      <c r="L324" s="20"/>
    </row>
    <row r="325" spans="12:12" ht="15.75" customHeight="1">
      <c r="L325" s="20"/>
    </row>
    <row r="326" spans="12:12" ht="15.75" customHeight="1">
      <c r="L326" s="20"/>
    </row>
    <row r="327" spans="12:12" ht="15.75" customHeight="1">
      <c r="L327" s="20"/>
    </row>
    <row r="328" spans="12:12" ht="15.75" customHeight="1">
      <c r="L328" s="20"/>
    </row>
    <row r="329" spans="12:12" ht="15.75" customHeight="1">
      <c r="L329" s="20"/>
    </row>
    <row r="330" spans="12:12" ht="15.75" customHeight="1">
      <c r="L330" s="20"/>
    </row>
    <row r="331" spans="12:12" ht="15.75" customHeight="1">
      <c r="L331" s="20"/>
    </row>
    <row r="332" spans="12:12" ht="15.75" customHeight="1">
      <c r="L332" s="20"/>
    </row>
    <row r="333" spans="12:12" ht="15.75" customHeight="1">
      <c r="L333" s="20"/>
    </row>
    <row r="334" spans="12:12" ht="15.75" customHeight="1">
      <c r="L334" s="20"/>
    </row>
    <row r="335" spans="12:12" ht="15.75" customHeight="1">
      <c r="L335" s="20"/>
    </row>
    <row r="336" spans="12:12" ht="15.75" customHeight="1">
      <c r="L336" s="20"/>
    </row>
    <row r="337" spans="12:12" ht="15.75" customHeight="1">
      <c r="L337" s="20"/>
    </row>
    <row r="338" spans="12:12" ht="15.75" customHeight="1">
      <c r="L338" s="20"/>
    </row>
    <row r="339" spans="12:12" ht="15.75" customHeight="1">
      <c r="L339" s="20"/>
    </row>
    <row r="340" spans="12:12" ht="15.75" customHeight="1">
      <c r="L340" s="20"/>
    </row>
    <row r="341" spans="12:12" ht="15.75" customHeight="1">
      <c r="L341" s="20"/>
    </row>
    <row r="342" spans="12:12" ht="15.75" customHeight="1">
      <c r="L342" s="20"/>
    </row>
    <row r="343" spans="12:12" ht="15.75" customHeight="1">
      <c r="L343" s="20"/>
    </row>
    <row r="344" spans="12:12" ht="15.75" customHeight="1">
      <c r="L344" s="20"/>
    </row>
    <row r="345" spans="12:12" ht="15.75" customHeight="1">
      <c r="L345" s="20"/>
    </row>
    <row r="346" spans="12:12" ht="15.75" customHeight="1">
      <c r="L346" s="20"/>
    </row>
    <row r="347" spans="12:12" ht="15.75" customHeight="1">
      <c r="L347" s="20"/>
    </row>
    <row r="348" spans="12:12" ht="15.75" customHeight="1">
      <c r="L348" s="20"/>
    </row>
    <row r="349" spans="12:12" ht="15.75" customHeight="1">
      <c r="L349" s="20"/>
    </row>
    <row r="350" spans="12:12" ht="15.75" customHeight="1">
      <c r="L350" s="20"/>
    </row>
    <row r="351" spans="12:12" ht="15.75" customHeight="1">
      <c r="L351" s="20"/>
    </row>
    <row r="352" spans="12:12" ht="15.75" customHeight="1">
      <c r="L352" s="20"/>
    </row>
    <row r="353" spans="12:12" ht="15.75" customHeight="1">
      <c r="L353" s="20"/>
    </row>
    <row r="354" spans="12:12" ht="15.75" customHeight="1">
      <c r="L354" s="20"/>
    </row>
    <row r="355" spans="12:12" ht="15.75" customHeight="1">
      <c r="L355" s="20"/>
    </row>
    <row r="356" spans="12:12" ht="15.75" customHeight="1">
      <c r="L356" s="20"/>
    </row>
    <row r="357" spans="12:12" ht="15.75" customHeight="1">
      <c r="L357" s="20"/>
    </row>
    <row r="358" spans="12:12" ht="15.75" customHeight="1">
      <c r="L358" s="20"/>
    </row>
    <row r="359" spans="12:12" ht="15.75" customHeight="1">
      <c r="L359" s="20"/>
    </row>
    <row r="360" spans="12:12" ht="15.75" customHeight="1">
      <c r="L360" s="20"/>
    </row>
    <row r="361" spans="12:12" ht="15.75" customHeight="1">
      <c r="L361" s="20"/>
    </row>
    <row r="362" spans="12:12" ht="15.75" customHeight="1">
      <c r="L362" s="20"/>
    </row>
    <row r="363" spans="12:12" ht="15.75" customHeight="1">
      <c r="L363" s="20"/>
    </row>
    <row r="364" spans="12:12" ht="15.75" customHeight="1">
      <c r="L364" s="20"/>
    </row>
    <row r="365" spans="12:12" ht="15.75" customHeight="1">
      <c r="L365" s="20"/>
    </row>
    <row r="366" spans="12:12" ht="15.75" customHeight="1">
      <c r="L366" s="20"/>
    </row>
    <row r="367" spans="12:12" ht="15.75" customHeight="1">
      <c r="L367" s="20"/>
    </row>
    <row r="368" spans="12:12" ht="15.75" customHeight="1">
      <c r="L368" s="20"/>
    </row>
    <row r="369" spans="12:12" ht="15.75" customHeight="1">
      <c r="L369" s="20"/>
    </row>
    <row r="370" spans="12:12" ht="15.75" customHeight="1">
      <c r="L370" s="20"/>
    </row>
    <row r="371" spans="12:12" ht="15.75" customHeight="1">
      <c r="L371" s="20"/>
    </row>
    <row r="372" spans="12:12" ht="15.75" customHeight="1">
      <c r="L372" s="20"/>
    </row>
    <row r="373" spans="12:12" ht="15.75" customHeight="1">
      <c r="L373" s="20"/>
    </row>
    <row r="374" spans="12:12" ht="15.75" customHeight="1">
      <c r="L374" s="20"/>
    </row>
    <row r="375" spans="12:12" ht="15.75" customHeight="1">
      <c r="L375" s="20"/>
    </row>
    <row r="376" spans="12:12" ht="15.75" customHeight="1">
      <c r="L376" s="20"/>
    </row>
    <row r="377" spans="12:12" ht="15.75" customHeight="1">
      <c r="L377" s="20"/>
    </row>
    <row r="378" spans="12:12" ht="15.75" customHeight="1">
      <c r="L378" s="20"/>
    </row>
    <row r="379" spans="12:12" ht="15.75" customHeight="1">
      <c r="L379" s="20"/>
    </row>
    <row r="380" spans="12:12" ht="15.75" customHeight="1">
      <c r="L380" s="20"/>
    </row>
    <row r="381" spans="12:12" ht="15.75" customHeight="1">
      <c r="L381" s="20"/>
    </row>
    <row r="382" spans="12:12" ht="15.75" customHeight="1">
      <c r="L382" s="20"/>
    </row>
    <row r="383" spans="12:12" ht="15.75" customHeight="1">
      <c r="L383" s="20"/>
    </row>
    <row r="384" spans="12:12" ht="15.75" customHeight="1">
      <c r="L384" s="20"/>
    </row>
    <row r="385" spans="12:12" ht="15.75" customHeight="1">
      <c r="L385" s="20"/>
    </row>
    <row r="386" spans="12:12" ht="15.75" customHeight="1">
      <c r="L386" s="20"/>
    </row>
    <row r="387" spans="12:12" ht="15.75" customHeight="1">
      <c r="L387" s="20"/>
    </row>
    <row r="388" spans="12:12" ht="15.75" customHeight="1">
      <c r="L388" s="20"/>
    </row>
    <row r="389" spans="12:12" ht="15.75" customHeight="1">
      <c r="L389" s="20"/>
    </row>
    <row r="390" spans="12:12" ht="15.75" customHeight="1">
      <c r="L390" s="20"/>
    </row>
    <row r="391" spans="12:12" ht="15.75" customHeight="1">
      <c r="L391" s="20"/>
    </row>
    <row r="392" spans="12:12" ht="15.75" customHeight="1">
      <c r="L392" s="20"/>
    </row>
    <row r="393" spans="12:12" ht="15.75" customHeight="1">
      <c r="L393" s="20"/>
    </row>
    <row r="394" spans="12:12" ht="15.75" customHeight="1">
      <c r="L394" s="20"/>
    </row>
    <row r="395" spans="12:12" ht="15.75" customHeight="1">
      <c r="L395" s="20"/>
    </row>
    <row r="396" spans="12:12" ht="15.75" customHeight="1">
      <c r="L396" s="20"/>
    </row>
    <row r="397" spans="12:12" ht="15.75" customHeight="1">
      <c r="L397" s="20"/>
    </row>
    <row r="398" spans="12:12" ht="15.75" customHeight="1">
      <c r="L398" s="20"/>
    </row>
    <row r="399" spans="12:12" ht="15.75" customHeight="1">
      <c r="L399" s="20"/>
    </row>
    <row r="400" spans="12:12" ht="15.75" customHeight="1">
      <c r="L400" s="20"/>
    </row>
    <row r="401" spans="12:12" ht="15.75" customHeight="1">
      <c r="L401" s="20"/>
    </row>
    <row r="402" spans="12:12" ht="15.75" customHeight="1">
      <c r="L402" s="20"/>
    </row>
    <row r="403" spans="12:12" ht="15.75" customHeight="1">
      <c r="L403" s="20"/>
    </row>
    <row r="404" spans="12:12" ht="15.75" customHeight="1">
      <c r="L404" s="20"/>
    </row>
    <row r="405" spans="12:12" ht="15.75" customHeight="1">
      <c r="L405" s="20"/>
    </row>
    <row r="406" spans="12:12" ht="15.75" customHeight="1">
      <c r="L406" s="20"/>
    </row>
    <row r="407" spans="12:12" ht="15.75" customHeight="1">
      <c r="L407" s="20"/>
    </row>
    <row r="408" spans="12:12" ht="15.75" customHeight="1">
      <c r="L408" s="20"/>
    </row>
    <row r="409" spans="12:12" ht="15.75" customHeight="1">
      <c r="L409" s="20"/>
    </row>
    <row r="410" spans="12:12" ht="15.75" customHeight="1">
      <c r="L410" s="20"/>
    </row>
    <row r="411" spans="12:12" ht="15.75" customHeight="1">
      <c r="L411" s="20"/>
    </row>
    <row r="412" spans="12:12" ht="15.75" customHeight="1">
      <c r="L412" s="20"/>
    </row>
    <row r="413" spans="12:12" ht="15.75" customHeight="1">
      <c r="L413" s="20"/>
    </row>
    <row r="414" spans="12:12" ht="15.75" customHeight="1">
      <c r="L414" s="20"/>
    </row>
    <row r="415" spans="12:12" ht="15.75" customHeight="1">
      <c r="L415" s="20"/>
    </row>
    <row r="416" spans="12:12" ht="15.75" customHeight="1">
      <c r="L416" s="20"/>
    </row>
    <row r="417" spans="12:12" ht="15.75" customHeight="1">
      <c r="L417" s="20"/>
    </row>
    <row r="418" spans="12:12" ht="15.75" customHeight="1">
      <c r="L418" s="20"/>
    </row>
    <row r="419" spans="12:12" ht="15.75" customHeight="1">
      <c r="L419" s="20"/>
    </row>
    <row r="420" spans="12:12" ht="15.75" customHeight="1">
      <c r="L420" s="20"/>
    </row>
    <row r="421" spans="12:12" ht="15.75" customHeight="1">
      <c r="L421" s="20"/>
    </row>
    <row r="422" spans="12:12" ht="15.75" customHeight="1">
      <c r="L422" s="20"/>
    </row>
    <row r="423" spans="12:12" ht="15.75" customHeight="1">
      <c r="L423" s="20"/>
    </row>
    <row r="424" spans="12:12" ht="15.75" customHeight="1">
      <c r="L424" s="20"/>
    </row>
    <row r="425" spans="12:12" ht="15.75" customHeight="1">
      <c r="L425" s="20"/>
    </row>
    <row r="426" spans="12:12" ht="15.75" customHeight="1">
      <c r="L426" s="20"/>
    </row>
    <row r="427" spans="12:12" ht="15.75" customHeight="1">
      <c r="L427" s="20"/>
    </row>
    <row r="428" spans="12:12" ht="15.75" customHeight="1">
      <c r="L428" s="20"/>
    </row>
    <row r="429" spans="12:12" ht="15.75" customHeight="1">
      <c r="L429" s="20"/>
    </row>
    <row r="430" spans="12:12" ht="15.75" customHeight="1">
      <c r="L430" s="20"/>
    </row>
    <row r="431" spans="12:12" ht="15.75" customHeight="1">
      <c r="L431" s="20"/>
    </row>
    <row r="432" spans="12:12" ht="15.75" customHeight="1">
      <c r="L432" s="20"/>
    </row>
    <row r="433" spans="12:12" ht="15.75" customHeight="1">
      <c r="L433" s="20"/>
    </row>
    <row r="434" spans="12:12" ht="15.75" customHeight="1">
      <c r="L434" s="20"/>
    </row>
    <row r="435" spans="12:12" ht="15.75" customHeight="1">
      <c r="L435" s="20"/>
    </row>
    <row r="436" spans="12:12" ht="15.75" customHeight="1">
      <c r="L436" s="20"/>
    </row>
    <row r="437" spans="12:12" ht="15.75" customHeight="1">
      <c r="L437" s="20"/>
    </row>
    <row r="438" spans="12:12" ht="15.75" customHeight="1">
      <c r="L438" s="20"/>
    </row>
    <row r="439" spans="12:12" ht="15.75" customHeight="1">
      <c r="L439" s="20"/>
    </row>
    <row r="440" spans="12:12" ht="15.75" customHeight="1">
      <c r="L440" s="20"/>
    </row>
    <row r="441" spans="12:12" ht="15.75" customHeight="1">
      <c r="L441" s="20"/>
    </row>
    <row r="442" spans="12:12" ht="15.75" customHeight="1">
      <c r="L442" s="20"/>
    </row>
    <row r="443" spans="12:12" ht="15.75" customHeight="1">
      <c r="L443" s="20"/>
    </row>
    <row r="444" spans="12:12" ht="15.75" customHeight="1">
      <c r="L444" s="20"/>
    </row>
    <row r="445" spans="12:12" ht="15.75" customHeight="1">
      <c r="L445" s="20"/>
    </row>
    <row r="446" spans="12:12" ht="15.75" customHeight="1">
      <c r="L446" s="20"/>
    </row>
    <row r="447" spans="12:12" ht="15.75" customHeight="1">
      <c r="L447" s="20"/>
    </row>
    <row r="448" spans="12:12" ht="15.75" customHeight="1">
      <c r="L448" s="20"/>
    </row>
    <row r="449" spans="12:12" ht="15.75" customHeight="1">
      <c r="L449" s="20"/>
    </row>
    <row r="450" spans="12:12" ht="15.75" customHeight="1">
      <c r="L450" s="20"/>
    </row>
    <row r="451" spans="12:12" ht="15.75" customHeight="1">
      <c r="L451" s="20"/>
    </row>
    <row r="452" spans="12:12" ht="15.75" customHeight="1">
      <c r="L452" s="20"/>
    </row>
    <row r="453" spans="12:12" ht="15.75" customHeight="1">
      <c r="L453" s="20"/>
    </row>
    <row r="454" spans="12:12" ht="15.75" customHeight="1">
      <c r="L454" s="20"/>
    </row>
    <row r="455" spans="12:12" ht="15.75" customHeight="1">
      <c r="L455" s="20"/>
    </row>
    <row r="456" spans="12:12" ht="15.75" customHeight="1">
      <c r="L456" s="20"/>
    </row>
    <row r="457" spans="12:12" ht="15.75" customHeight="1">
      <c r="L457" s="20"/>
    </row>
    <row r="458" spans="12:12" ht="15.75" customHeight="1">
      <c r="L458" s="20"/>
    </row>
    <row r="459" spans="12:12" ht="15.75" customHeight="1">
      <c r="L459" s="20"/>
    </row>
    <row r="460" spans="12:12" ht="15.75" customHeight="1">
      <c r="L460" s="20"/>
    </row>
    <row r="461" spans="12:12" ht="15.75" customHeight="1">
      <c r="L461" s="20"/>
    </row>
    <row r="462" spans="12:12" ht="15.75" customHeight="1">
      <c r="L462" s="20"/>
    </row>
    <row r="463" spans="12:12" ht="15.75" customHeight="1">
      <c r="L463" s="20"/>
    </row>
    <row r="464" spans="12:12" ht="15.75" customHeight="1">
      <c r="L464" s="20"/>
    </row>
    <row r="465" spans="12:12" ht="15.75" customHeight="1">
      <c r="L465" s="20"/>
    </row>
    <row r="466" spans="12:12" ht="15.75" customHeight="1">
      <c r="L466" s="20"/>
    </row>
    <row r="467" spans="12:12" ht="15.75" customHeight="1">
      <c r="L467" s="20"/>
    </row>
    <row r="468" spans="12:12" ht="15.75" customHeight="1">
      <c r="L468" s="20"/>
    </row>
    <row r="469" spans="12:12" ht="15.75" customHeight="1">
      <c r="L469" s="20"/>
    </row>
    <row r="470" spans="12:12" ht="15.75" customHeight="1">
      <c r="L470" s="20"/>
    </row>
    <row r="471" spans="12:12" ht="15.75" customHeight="1">
      <c r="L471" s="20"/>
    </row>
    <row r="472" spans="12:12" ht="15.75" customHeight="1">
      <c r="L472" s="20"/>
    </row>
    <row r="473" spans="12:12" ht="15.75" customHeight="1">
      <c r="L473" s="20"/>
    </row>
    <row r="474" spans="12:12" ht="15.75" customHeight="1">
      <c r="L474" s="20"/>
    </row>
    <row r="475" spans="12:12" ht="15.75" customHeight="1">
      <c r="L475" s="20"/>
    </row>
    <row r="476" spans="12:12" ht="15.75" customHeight="1">
      <c r="L476" s="20"/>
    </row>
    <row r="477" spans="12:12" ht="15.75" customHeight="1">
      <c r="L477" s="20"/>
    </row>
    <row r="478" spans="12:12" ht="15.75" customHeight="1">
      <c r="L478" s="20"/>
    </row>
    <row r="479" spans="12:12" ht="15.75" customHeight="1">
      <c r="L479" s="20"/>
    </row>
    <row r="480" spans="12:12" ht="15.75" customHeight="1">
      <c r="L480" s="20"/>
    </row>
    <row r="481" spans="12:12" ht="15.75" customHeight="1">
      <c r="L481" s="20"/>
    </row>
    <row r="482" spans="12:12" ht="15.75" customHeight="1">
      <c r="L482" s="20"/>
    </row>
    <row r="483" spans="12:12" ht="15.75" customHeight="1">
      <c r="L483" s="20"/>
    </row>
    <row r="484" spans="12:12" ht="15.75" customHeight="1">
      <c r="L484" s="20"/>
    </row>
    <row r="485" spans="12:12" ht="15.75" customHeight="1">
      <c r="L485" s="20"/>
    </row>
    <row r="486" spans="12:12" ht="15.75" customHeight="1">
      <c r="L486" s="20"/>
    </row>
    <row r="487" spans="12:12" ht="15.75" customHeight="1">
      <c r="L487" s="20"/>
    </row>
    <row r="488" spans="12:12" ht="15.75" customHeight="1">
      <c r="L488" s="20"/>
    </row>
    <row r="489" spans="12:12" ht="15.75" customHeight="1">
      <c r="L489" s="20"/>
    </row>
    <row r="490" spans="12:12" ht="15.75" customHeight="1">
      <c r="L490" s="20"/>
    </row>
    <row r="491" spans="12:12" ht="15.75" customHeight="1">
      <c r="L491" s="20"/>
    </row>
    <row r="492" spans="12:12" ht="15.75" customHeight="1">
      <c r="L492" s="20"/>
    </row>
    <row r="493" spans="12:12" ht="15.75" customHeight="1">
      <c r="L493" s="20"/>
    </row>
    <row r="494" spans="12:12" ht="15.75" customHeight="1">
      <c r="L494" s="20"/>
    </row>
    <row r="495" spans="12:12" ht="15.75" customHeight="1">
      <c r="L495" s="20"/>
    </row>
    <row r="496" spans="12:12" ht="15.75" customHeight="1">
      <c r="L496" s="20"/>
    </row>
    <row r="497" spans="12:12" ht="15.75" customHeight="1">
      <c r="L497" s="20"/>
    </row>
    <row r="498" spans="12:12" ht="15.75" customHeight="1">
      <c r="L498" s="20"/>
    </row>
    <row r="499" spans="12:12" ht="15.75" customHeight="1">
      <c r="L499" s="20"/>
    </row>
    <row r="500" spans="12:12" ht="15.75" customHeight="1">
      <c r="L500" s="20"/>
    </row>
    <row r="501" spans="12:12" ht="15.75" customHeight="1">
      <c r="L501" s="20"/>
    </row>
    <row r="502" spans="12:12" ht="15.75" customHeight="1">
      <c r="L502" s="20"/>
    </row>
    <row r="503" spans="12:12" ht="15.75" customHeight="1">
      <c r="L503" s="20"/>
    </row>
    <row r="504" spans="12:12" ht="15.75" customHeight="1">
      <c r="L504" s="20"/>
    </row>
    <row r="505" spans="12:12" ht="15.75" customHeight="1">
      <c r="L505" s="20"/>
    </row>
    <row r="506" spans="12:12" ht="15.75" customHeight="1">
      <c r="L506" s="20"/>
    </row>
    <row r="507" spans="12:12" ht="15.75" customHeight="1">
      <c r="L507" s="20"/>
    </row>
    <row r="508" spans="12:12" ht="15.75" customHeight="1">
      <c r="L508" s="20"/>
    </row>
    <row r="509" spans="12:12" ht="15.75" customHeight="1">
      <c r="L509" s="20"/>
    </row>
    <row r="510" spans="12:12" ht="15.75" customHeight="1">
      <c r="L510" s="20"/>
    </row>
    <row r="511" spans="12:12" ht="15.75" customHeight="1">
      <c r="L511" s="20"/>
    </row>
    <row r="512" spans="12:12" ht="15.75" customHeight="1">
      <c r="L512" s="20"/>
    </row>
    <row r="513" spans="12:12" ht="15.75" customHeight="1">
      <c r="L513" s="20"/>
    </row>
    <row r="514" spans="12:12" ht="15.75" customHeight="1">
      <c r="L514" s="20"/>
    </row>
    <row r="515" spans="12:12" ht="15.75" customHeight="1">
      <c r="L515" s="20"/>
    </row>
    <row r="516" spans="12:12" ht="15.75" customHeight="1">
      <c r="L516" s="20"/>
    </row>
    <row r="517" spans="12:12" ht="15.75" customHeight="1">
      <c r="L517" s="20"/>
    </row>
    <row r="518" spans="12:12" ht="15.75" customHeight="1">
      <c r="L518" s="20"/>
    </row>
    <row r="519" spans="12:12" ht="15.75" customHeight="1">
      <c r="L519" s="20"/>
    </row>
    <row r="520" spans="12:12" ht="15.75" customHeight="1">
      <c r="L520" s="20"/>
    </row>
    <row r="521" spans="12:12" ht="15.75" customHeight="1">
      <c r="L521" s="20"/>
    </row>
    <row r="522" spans="12:12" ht="15.75" customHeight="1">
      <c r="L522" s="20"/>
    </row>
    <row r="523" spans="12:12" ht="15.75" customHeight="1">
      <c r="L523" s="20"/>
    </row>
    <row r="524" spans="12:12" ht="15.75" customHeight="1">
      <c r="L524" s="20"/>
    </row>
    <row r="525" spans="12:12" ht="15.75" customHeight="1">
      <c r="L525" s="20"/>
    </row>
    <row r="526" spans="12:12" ht="15.75" customHeight="1">
      <c r="L526" s="20"/>
    </row>
    <row r="527" spans="12:12" ht="15.75" customHeight="1">
      <c r="L527" s="20"/>
    </row>
    <row r="528" spans="12:12" ht="15.75" customHeight="1">
      <c r="L528" s="20"/>
    </row>
    <row r="529" spans="12:12" ht="15.75" customHeight="1">
      <c r="L529" s="20"/>
    </row>
    <row r="530" spans="12:12" ht="15.75" customHeight="1">
      <c r="L530" s="20"/>
    </row>
    <row r="531" spans="12:12" ht="15.75" customHeight="1">
      <c r="L531" s="20"/>
    </row>
    <row r="532" spans="12:12" ht="15.75" customHeight="1">
      <c r="L532" s="20"/>
    </row>
    <row r="533" spans="12:12" ht="15.75" customHeight="1">
      <c r="L533" s="20"/>
    </row>
    <row r="534" spans="12:12" ht="15.75" customHeight="1">
      <c r="L534" s="20"/>
    </row>
    <row r="535" spans="12:12" ht="15.75" customHeight="1">
      <c r="L535" s="20"/>
    </row>
    <row r="536" spans="12:12" ht="15.75" customHeight="1">
      <c r="L536" s="20"/>
    </row>
    <row r="537" spans="12:12" ht="15.75" customHeight="1">
      <c r="L537" s="20"/>
    </row>
    <row r="538" spans="12:12" ht="15.75" customHeight="1">
      <c r="L538" s="20"/>
    </row>
    <row r="539" spans="12:12" ht="15.75" customHeight="1">
      <c r="L539" s="20"/>
    </row>
    <row r="540" spans="12:12" ht="15.75" customHeight="1">
      <c r="L540" s="20"/>
    </row>
    <row r="541" spans="12:12" ht="15.75" customHeight="1">
      <c r="L541" s="20"/>
    </row>
    <row r="542" spans="12:12" ht="15.75" customHeight="1">
      <c r="L542" s="20"/>
    </row>
    <row r="543" spans="12:12" ht="15.75" customHeight="1">
      <c r="L543" s="20"/>
    </row>
    <row r="544" spans="12:12" ht="15.75" customHeight="1">
      <c r="L544" s="20"/>
    </row>
    <row r="545" spans="12:12" ht="15.75" customHeight="1">
      <c r="L545" s="20"/>
    </row>
    <row r="546" spans="12:12" ht="15.75" customHeight="1">
      <c r="L546" s="20"/>
    </row>
    <row r="547" spans="12:12" ht="15.75" customHeight="1">
      <c r="L547" s="20"/>
    </row>
    <row r="548" spans="12:12" ht="15.75" customHeight="1">
      <c r="L548" s="20"/>
    </row>
    <row r="549" spans="12:12" ht="15.75" customHeight="1">
      <c r="L549" s="20"/>
    </row>
    <row r="550" spans="12:12" ht="15.75" customHeight="1">
      <c r="L550" s="20"/>
    </row>
    <row r="551" spans="12:12" ht="15.75" customHeight="1">
      <c r="L551" s="20"/>
    </row>
    <row r="552" spans="12:12" ht="15.75" customHeight="1">
      <c r="L552" s="20"/>
    </row>
    <row r="553" spans="12:12" ht="15.75" customHeight="1">
      <c r="L553" s="20"/>
    </row>
    <row r="554" spans="12:12" ht="15.75" customHeight="1">
      <c r="L554" s="20"/>
    </row>
    <row r="555" spans="12:12" ht="15.75" customHeight="1">
      <c r="L555" s="20"/>
    </row>
    <row r="556" spans="12:12" ht="15.75" customHeight="1">
      <c r="L556" s="20"/>
    </row>
    <row r="557" spans="12:12" ht="15.75" customHeight="1">
      <c r="L557" s="20"/>
    </row>
    <row r="558" spans="12:12" ht="15.75" customHeight="1">
      <c r="L558" s="20"/>
    </row>
    <row r="559" spans="12:12" ht="15.75" customHeight="1">
      <c r="L559" s="20"/>
    </row>
    <row r="560" spans="12:12" ht="15.75" customHeight="1">
      <c r="L560" s="20"/>
    </row>
    <row r="561" spans="12:12" ht="15.75" customHeight="1">
      <c r="L561" s="20"/>
    </row>
    <row r="562" spans="12:12" ht="15.75" customHeight="1">
      <c r="L562" s="20"/>
    </row>
    <row r="563" spans="12:12" ht="15.75" customHeight="1">
      <c r="L563" s="20"/>
    </row>
    <row r="564" spans="12:12" ht="15.75" customHeight="1">
      <c r="L564" s="20"/>
    </row>
    <row r="565" spans="12:12" ht="15.75" customHeight="1">
      <c r="L565" s="20"/>
    </row>
    <row r="566" spans="12:12" ht="15.75" customHeight="1">
      <c r="L566" s="20"/>
    </row>
    <row r="567" spans="12:12" ht="15.75" customHeight="1">
      <c r="L567" s="20"/>
    </row>
    <row r="568" spans="12:12" ht="15.75" customHeight="1">
      <c r="L568" s="20"/>
    </row>
    <row r="569" spans="12:12" ht="15.75" customHeight="1">
      <c r="L569" s="20"/>
    </row>
    <row r="570" spans="12:12" ht="15.75" customHeight="1">
      <c r="L570" s="20"/>
    </row>
    <row r="571" spans="12:12" ht="15.75" customHeight="1">
      <c r="L571" s="20"/>
    </row>
    <row r="572" spans="12:12" ht="15.75" customHeight="1">
      <c r="L572" s="20"/>
    </row>
    <row r="573" spans="12:12" ht="15.75" customHeight="1">
      <c r="L573" s="20"/>
    </row>
    <row r="574" spans="12:12" ht="15.75" customHeight="1">
      <c r="L574" s="20"/>
    </row>
    <row r="575" spans="12:12" ht="15.75" customHeight="1">
      <c r="L575" s="20"/>
    </row>
    <row r="576" spans="12:12" ht="15.75" customHeight="1">
      <c r="L576" s="20"/>
    </row>
    <row r="577" spans="12:12" ht="15.75" customHeight="1">
      <c r="L577" s="20"/>
    </row>
    <row r="578" spans="12:12" ht="15.75" customHeight="1">
      <c r="L578" s="20"/>
    </row>
    <row r="579" spans="12:12" ht="15.75" customHeight="1">
      <c r="L579" s="20"/>
    </row>
    <row r="580" spans="12:12" ht="15.75" customHeight="1">
      <c r="L580" s="20"/>
    </row>
    <row r="581" spans="12:12" ht="15.75" customHeight="1">
      <c r="L581" s="20"/>
    </row>
    <row r="582" spans="12:12" ht="15.75" customHeight="1">
      <c r="L582" s="20"/>
    </row>
    <row r="583" spans="12:12" ht="15.75" customHeight="1">
      <c r="L583" s="20"/>
    </row>
    <row r="584" spans="12:12" ht="15.75" customHeight="1">
      <c r="L584" s="20"/>
    </row>
    <row r="585" spans="12:12" ht="15.75" customHeight="1">
      <c r="L585" s="20"/>
    </row>
    <row r="586" spans="12:12" ht="15.75" customHeight="1">
      <c r="L586" s="20"/>
    </row>
    <row r="587" spans="12:12" ht="15.75" customHeight="1">
      <c r="L587" s="20"/>
    </row>
    <row r="588" spans="12:12" ht="15.75" customHeight="1">
      <c r="L588" s="20"/>
    </row>
    <row r="589" spans="12:12" ht="15.75" customHeight="1">
      <c r="L589" s="20"/>
    </row>
    <row r="590" spans="12:12" ht="15.75" customHeight="1">
      <c r="L590" s="20"/>
    </row>
    <row r="591" spans="12:12" ht="15.75" customHeight="1">
      <c r="L591" s="20"/>
    </row>
    <row r="592" spans="12:12" ht="15.75" customHeight="1">
      <c r="L592" s="20"/>
    </row>
    <row r="593" spans="12:12" ht="15.75" customHeight="1">
      <c r="L593" s="20"/>
    </row>
    <row r="594" spans="12:12" ht="15.75" customHeight="1">
      <c r="L594" s="20"/>
    </row>
    <row r="595" spans="12:12" ht="15.75" customHeight="1">
      <c r="L595" s="20"/>
    </row>
    <row r="596" spans="12:12" ht="15.75" customHeight="1">
      <c r="L596" s="20"/>
    </row>
    <row r="597" spans="12:12" ht="15.75" customHeight="1">
      <c r="L597" s="20"/>
    </row>
    <row r="598" spans="12:12" ht="15.75" customHeight="1">
      <c r="L598" s="20"/>
    </row>
    <row r="599" spans="12:12" ht="15.75" customHeight="1">
      <c r="L599" s="20"/>
    </row>
    <row r="600" spans="12:12" ht="15.75" customHeight="1">
      <c r="L600" s="20"/>
    </row>
    <row r="601" spans="12:12" ht="15.75" customHeight="1">
      <c r="L601" s="20"/>
    </row>
    <row r="602" spans="12:12" ht="15.75" customHeight="1">
      <c r="L602" s="20"/>
    </row>
    <row r="603" spans="12:12" ht="15.75" customHeight="1">
      <c r="L603" s="20"/>
    </row>
    <row r="604" spans="12:12" ht="15.75" customHeight="1">
      <c r="L604" s="20"/>
    </row>
    <row r="605" spans="12:12" ht="15.75" customHeight="1">
      <c r="L605" s="20"/>
    </row>
    <row r="606" spans="12:12" ht="15.75" customHeight="1">
      <c r="L606" s="20"/>
    </row>
    <row r="607" spans="12:12" ht="15.75" customHeight="1">
      <c r="L607" s="20"/>
    </row>
    <row r="608" spans="12:12" ht="15.75" customHeight="1">
      <c r="L608" s="20"/>
    </row>
    <row r="609" spans="12:12" ht="15.75" customHeight="1">
      <c r="L609" s="20"/>
    </row>
    <row r="610" spans="12:12" ht="15.75" customHeight="1">
      <c r="L610" s="20"/>
    </row>
    <row r="611" spans="12:12" ht="15.75" customHeight="1">
      <c r="L611" s="20"/>
    </row>
    <row r="612" spans="12:12" ht="15.75" customHeight="1">
      <c r="L612" s="20"/>
    </row>
    <row r="613" spans="12:12" ht="15.75" customHeight="1">
      <c r="L613" s="20"/>
    </row>
    <row r="614" spans="12:12" ht="15.75" customHeight="1">
      <c r="L614" s="20"/>
    </row>
    <row r="615" spans="12:12" ht="15.75" customHeight="1">
      <c r="L615" s="20"/>
    </row>
    <row r="616" spans="12:12" ht="15.75" customHeight="1">
      <c r="L616" s="20"/>
    </row>
    <row r="617" spans="12:12" ht="15.75" customHeight="1">
      <c r="L617" s="20"/>
    </row>
    <row r="618" spans="12:12" ht="15.75" customHeight="1">
      <c r="L618" s="20"/>
    </row>
    <row r="619" spans="12:12" ht="15.75" customHeight="1">
      <c r="L619" s="20"/>
    </row>
    <row r="620" spans="12:12" ht="15.75" customHeight="1">
      <c r="L620" s="20"/>
    </row>
    <row r="621" spans="12:12" ht="15.75" customHeight="1">
      <c r="L621" s="20"/>
    </row>
    <row r="622" spans="12:12" ht="15.75" customHeight="1">
      <c r="L622" s="20"/>
    </row>
    <row r="623" spans="12:12" ht="15.75" customHeight="1">
      <c r="L623" s="20"/>
    </row>
    <row r="624" spans="12:12" ht="15.75" customHeight="1">
      <c r="L624" s="20"/>
    </row>
    <row r="625" spans="12:12" ht="15.75" customHeight="1">
      <c r="L625" s="20"/>
    </row>
    <row r="626" spans="12:12" ht="15.75" customHeight="1">
      <c r="L626" s="20"/>
    </row>
    <row r="627" spans="12:12" ht="15.75" customHeight="1">
      <c r="L627" s="20"/>
    </row>
    <row r="628" spans="12:12" ht="15.75" customHeight="1">
      <c r="L628" s="20"/>
    </row>
    <row r="629" spans="12:12" ht="15.75" customHeight="1">
      <c r="L629" s="20"/>
    </row>
    <row r="630" spans="12:12" ht="15.75" customHeight="1">
      <c r="L630" s="20"/>
    </row>
    <row r="631" spans="12:12" ht="15.75" customHeight="1">
      <c r="L631" s="20"/>
    </row>
    <row r="632" spans="12:12" ht="15.75" customHeight="1">
      <c r="L632" s="20"/>
    </row>
    <row r="633" spans="12:12" ht="15.75" customHeight="1">
      <c r="L633" s="20"/>
    </row>
    <row r="634" spans="12:12" ht="15.75" customHeight="1">
      <c r="L634" s="20"/>
    </row>
    <row r="635" spans="12:12" ht="15.75" customHeight="1">
      <c r="L635" s="20"/>
    </row>
    <row r="636" spans="12:12" ht="15.75" customHeight="1">
      <c r="L636" s="20"/>
    </row>
    <row r="637" spans="12:12" ht="15.75" customHeight="1">
      <c r="L637" s="20"/>
    </row>
    <row r="638" spans="12:12" ht="15.75" customHeight="1">
      <c r="L638" s="20"/>
    </row>
    <row r="639" spans="12:12" ht="15.75" customHeight="1">
      <c r="L639" s="20"/>
    </row>
    <row r="640" spans="12:12" ht="15.75" customHeight="1">
      <c r="L640" s="20"/>
    </row>
    <row r="641" spans="12:12" ht="15.75" customHeight="1">
      <c r="L641" s="20"/>
    </row>
    <row r="642" spans="12:12" ht="15.75" customHeight="1">
      <c r="L642" s="20"/>
    </row>
    <row r="643" spans="12:12" ht="15.75" customHeight="1">
      <c r="L643" s="20"/>
    </row>
    <row r="644" spans="12:12" ht="15.75" customHeight="1">
      <c r="L644" s="20"/>
    </row>
    <row r="645" spans="12:12" ht="15.75" customHeight="1">
      <c r="L645" s="20"/>
    </row>
    <row r="646" spans="12:12" ht="15.75" customHeight="1">
      <c r="L646" s="20"/>
    </row>
    <row r="647" spans="12:12" ht="15.75" customHeight="1">
      <c r="L647" s="20"/>
    </row>
    <row r="648" spans="12:12" ht="15.75" customHeight="1">
      <c r="L648" s="20"/>
    </row>
    <row r="649" spans="12:12" ht="15.75" customHeight="1">
      <c r="L649" s="20"/>
    </row>
    <row r="650" spans="12:12" ht="15.75" customHeight="1">
      <c r="L650" s="20"/>
    </row>
    <row r="651" spans="12:12" ht="15.75" customHeight="1">
      <c r="L651" s="20"/>
    </row>
    <row r="652" spans="12:12" ht="15.75" customHeight="1">
      <c r="L652" s="20"/>
    </row>
    <row r="653" spans="12:12" ht="15.75" customHeight="1">
      <c r="L653" s="20"/>
    </row>
    <row r="654" spans="12:12" ht="15.75" customHeight="1">
      <c r="L654" s="20"/>
    </row>
    <row r="655" spans="12:12" ht="15.75" customHeight="1">
      <c r="L655" s="20"/>
    </row>
    <row r="656" spans="12:12" ht="15.75" customHeight="1">
      <c r="L656" s="20"/>
    </row>
    <row r="657" spans="12:12" ht="15.75" customHeight="1">
      <c r="L657" s="20"/>
    </row>
    <row r="658" spans="12:12" ht="15.75" customHeight="1">
      <c r="L658" s="20"/>
    </row>
    <row r="659" spans="12:12" ht="15.75" customHeight="1">
      <c r="L659" s="20"/>
    </row>
    <row r="660" spans="12:12" ht="15.75" customHeight="1">
      <c r="L660" s="20"/>
    </row>
    <row r="661" spans="12:12" ht="15.75" customHeight="1">
      <c r="L661" s="20"/>
    </row>
    <row r="662" spans="12:12" ht="15.75" customHeight="1">
      <c r="L662" s="20"/>
    </row>
    <row r="663" spans="12:12" ht="15.75" customHeight="1">
      <c r="L663" s="20"/>
    </row>
    <row r="664" spans="12:12" ht="15.75" customHeight="1">
      <c r="L664" s="20"/>
    </row>
    <row r="665" spans="12:12" ht="15.75" customHeight="1">
      <c r="L665" s="20"/>
    </row>
    <row r="666" spans="12:12" ht="15.75" customHeight="1">
      <c r="L666" s="20"/>
    </row>
    <row r="667" spans="12:12" ht="15.75" customHeight="1">
      <c r="L667" s="20"/>
    </row>
    <row r="668" spans="12:12" ht="15.75" customHeight="1">
      <c r="L668" s="20"/>
    </row>
    <row r="669" spans="12:12" ht="15.75" customHeight="1">
      <c r="L669" s="20"/>
    </row>
    <row r="670" spans="12:12" ht="15.75" customHeight="1">
      <c r="L670" s="20"/>
    </row>
    <row r="671" spans="12:12" ht="15.75" customHeight="1">
      <c r="L671" s="20"/>
    </row>
    <row r="672" spans="12:12" ht="15.75" customHeight="1">
      <c r="L672" s="20"/>
    </row>
    <row r="673" spans="12:12" ht="15.75" customHeight="1">
      <c r="L673" s="20"/>
    </row>
    <row r="674" spans="12:12" ht="15.75" customHeight="1">
      <c r="L674" s="20"/>
    </row>
    <row r="675" spans="12:12" ht="15.75" customHeight="1">
      <c r="L675" s="20"/>
    </row>
    <row r="676" spans="12:12" ht="15.75" customHeight="1">
      <c r="L676" s="20"/>
    </row>
    <row r="677" spans="12:12" ht="15.75" customHeight="1">
      <c r="L677" s="20"/>
    </row>
    <row r="678" spans="12:12" ht="15.75" customHeight="1">
      <c r="L678" s="20"/>
    </row>
    <row r="679" spans="12:12" ht="15.75" customHeight="1">
      <c r="L679" s="20"/>
    </row>
    <row r="680" spans="12:12" ht="15.75" customHeight="1">
      <c r="L680" s="20"/>
    </row>
    <row r="681" spans="12:12" ht="15.75" customHeight="1">
      <c r="L681" s="20"/>
    </row>
    <row r="682" spans="12:12" ht="15.75" customHeight="1">
      <c r="L682" s="20"/>
    </row>
    <row r="683" spans="12:12" ht="15.75" customHeight="1">
      <c r="L683" s="20"/>
    </row>
    <row r="684" spans="12:12" ht="15.75" customHeight="1">
      <c r="L684" s="20"/>
    </row>
    <row r="685" spans="12:12" ht="15.75" customHeight="1">
      <c r="L685" s="20"/>
    </row>
    <row r="686" spans="12:12" ht="15.75" customHeight="1">
      <c r="L686" s="20"/>
    </row>
    <row r="687" spans="12:12" ht="15.75" customHeight="1">
      <c r="L687" s="20"/>
    </row>
    <row r="688" spans="12:12" ht="15.75" customHeight="1">
      <c r="L688" s="20"/>
    </row>
    <row r="689" spans="12:12" ht="15.75" customHeight="1">
      <c r="L689" s="20"/>
    </row>
    <row r="690" spans="12:12" ht="15.75" customHeight="1">
      <c r="L690" s="20"/>
    </row>
    <row r="691" spans="12:12" ht="15.75" customHeight="1">
      <c r="L691" s="20"/>
    </row>
    <row r="692" spans="12:12" ht="15.75" customHeight="1">
      <c r="L692" s="20"/>
    </row>
    <row r="693" spans="12:12" ht="15.75" customHeight="1">
      <c r="L693" s="20"/>
    </row>
    <row r="694" spans="12:12" ht="15.75" customHeight="1">
      <c r="L694" s="20"/>
    </row>
    <row r="695" spans="12:12" ht="15.75" customHeight="1">
      <c r="L695" s="20"/>
    </row>
    <row r="696" spans="12:12" ht="15.75" customHeight="1">
      <c r="L696" s="20"/>
    </row>
    <row r="697" spans="12:12" ht="15.75" customHeight="1">
      <c r="L697" s="20"/>
    </row>
    <row r="698" spans="12:12" ht="15.75" customHeight="1">
      <c r="L698" s="20"/>
    </row>
    <row r="699" spans="12:12" ht="15.75" customHeight="1">
      <c r="L699" s="20"/>
    </row>
    <row r="700" spans="12:12" ht="15.75" customHeight="1">
      <c r="L700" s="20"/>
    </row>
    <row r="701" spans="12:12" ht="15.75" customHeight="1">
      <c r="L701" s="20"/>
    </row>
    <row r="702" spans="12:12" ht="15.75" customHeight="1">
      <c r="L702" s="20"/>
    </row>
    <row r="703" spans="12:12" ht="15.75" customHeight="1">
      <c r="L703" s="20"/>
    </row>
    <row r="704" spans="12:12" ht="15.75" customHeight="1">
      <c r="L704" s="20"/>
    </row>
    <row r="705" spans="12:12" ht="15.75" customHeight="1">
      <c r="L705" s="20"/>
    </row>
    <row r="706" spans="12:12" ht="15.75" customHeight="1">
      <c r="L706" s="20"/>
    </row>
    <row r="707" spans="12:12" ht="15.75" customHeight="1">
      <c r="L707" s="20"/>
    </row>
    <row r="708" spans="12:12" ht="15.75" customHeight="1">
      <c r="L708" s="20"/>
    </row>
    <row r="709" spans="12:12" ht="15.75" customHeight="1">
      <c r="L709" s="20"/>
    </row>
    <row r="710" spans="12:12" ht="15.75" customHeight="1">
      <c r="L710" s="20"/>
    </row>
    <row r="711" spans="12:12" ht="15.75" customHeight="1">
      <c r="L711" s="20"/>
    </row>
    <row r="712" spans="12:12" ht="15.75" customHeight="1">
      <c r="L712" s="20"/>
    </row>
    <row r="713" spans="12:12" ht="15.75" customHeight="1">
      <c r="L713" s="20"/>
    </row>
    <row r="714" spans="12:12" ht="15.75" customHeight="1">
      <c r="L714" s="20"/>
    </row>
    <row r="715" spans="12:12" ht="15.75" customHeight="1">
      <c r="L715" s="20"/>
    </row>
    <row r="716" spans="12:12" ht="15.75" customHeight="1">
      <c r="L716" s="20"/>
    </row>
    <row r="717" spans="12:12" ht="15.75" customHeight="1">
      <c r="L717" s="20"/>
    </row>
    <row r="718" spans="12:12" ht="15.75" customHeight="1">
      <c r="L718" s="20"/>
    </row>
    <row r="719" spans="12:12" ht="15.75" customHeight="1">
      <c r="L719" s="20"/>
    </row>
    <row r="720" spans="12:12" ht="15.75" customHeight="1">
      <c r="L720" s="20"/>
    </row>
    <row r="721" spans="12:12" ht="15.75" customHeight="1">
      <c r="L721" s="20"/>
    </row>
    <row r="722" spans="12:12" ht="15.75" customHeight="1">
      <c r="L722" s="20"/>
    </row>
    <row r="723" spans="12:12" ht="15.75" customHeight="1">
      <c r="L723" s="20"/>
    </row>
    <row r="724" spans="12:12" ht="15.75" customHeight="1">
      <c r="L724" s="20"/>
    </row>
    <row r="725" spans="12:12" ht="15.75" customHeight="1">
      <c r="L725" s="20"/>
    </row>
    <row r="726" spans="12:12" ht="15.75" customHeight="1">
      <c r="L726" s="20"/>
    </row>
    <row r="727" spans="12:12" ht="15.75" customHeight="1">
      <c r="L727" s="20"/>
    </row>
    <row r="728" spans="12:12" ht="15.75" customHeight="1">
      <c r="L728" s="20"/>
    </row>
    <row r="729" spans="12:12" ht="15.75" customHeight="1">
      <c r="L729" s="20"/>
    </row>
    <row r="730" spans="12:12" ht="15.75" customHeight="1">
      <c r="L730" s="20"/>
    </row>
    <row r="731" spans="12:12" ht="15.75" customHeight="1">
      <c r="L731" s="20"/>
    </row>
    <row r="732" spans="12:12" ht="15.75" customHeight="1">
      <c r="L732" s="20"/>
    </row>
    <row r="733" spans="12:12" ht="15.75" customHeight="1">
      <c r="L733" s="20"/>
    </row>
    <row r="734" spans="12:12" ht="15.75" customHeight="1">
      <c r="L734" s="20"/>
    </row>
    <row r="735" spans="12:12" ht="15.75" customHeight="1">
      <c r="L735" s="20"/>
    </row>
    <row r="736" spans="12:12" ht="15.75" customHeight="1">
      <c r="L736" s="20"/>
    </row>
    <row r="737" spans="12:12" ht="15.75" customHeight="1">
      <c r="L737" s="20"/>
    </row>
    <row r="738" spans="12:12" ht="15.75" customHeight="1">
      <c r="L738" s="20"/>
    </row>
    <row r="739" spans="12:12" ht="15.75" customHeight="1">
      <c r="L739" s="20"/>
    </row>
    <row r="740" spans="12:12" ht="15.75" customHeight="1">
      <c r="L740" s="20"/>
    </row>
    <row r="741" spans="12:12" ht="15.75" customHeight="1">
      <c r="L741" s="20"/>
    </row>
    <row r="742" spans="12:12" ht="15.75" customHeight="1">
      <c r="L742" s="20"/>
    </row>
    <row r="743" spans="12:12" ht="15.75" customHeight="1">
      <c r="L743" s="20"/>
    </row>
    <row r="744" spans="12:12" ht="15.75" customHeight="1">
      <c r="L744" s="20"/>
    </row>
    <row r="745" spans="12:12" ht="15.75" customHeight="1">
      <c r="L745" s="20"/>
    </row>
    <row r="746" spans="12:12" ht="15.75" customHeight="1">
      <c r="L746" s="20"/>
    </row>
    <row r="747" spans="12:12" ht="15.75" customHeight="1">
      <c r="L747" s="20"/>
    </row>
    <row r="748" spans="12:12" ht="15.75" customHeight="1">
      <c r="L748" s="20"/>
    </row>
    <row r="749" spans="12:12" ht="15.75" customHeight="1">
      <c r="L749" s="20"/>
    </row>
    <row r="750" spans="12:12" ht="15.75" customHeight="1">
      <c r="L750" s="20"/>
    </row>
    <row r="751" spans="12:12" ht="15.75" customHeight="1">
      <c r="L751" s="20"/>
    </row>
    <row r="752" spans="12:12" ht="15.75" customHeight="1">
      <c r="L752" s="20"/>
    </row>
    <row r="753" spans="12:12" ht="15.75" customHeight="1">
      <c r="L753" s="20"/>
    </row>
    <row r="754" spans="12:12" ht="15.75" customHeight="1">
      <c r="L754" s="20"/>
    </row>
    <row r="755" spans="12:12" ht="15.75" customHeight="1">
      <c r="L755" s="20"/>
    </row>
    <row r="756" spans="12:12" ht="15.75" customHeight="1">
      <c r="L756" s="20"/>
    </row>
    <row r="757" spans="12:12" ht="15.75" customHeight="1">
      <c r="L757" s="20"/>
    </row>
    <row r="758" spans="12:12" ht="15.75" customHeight="1">
      <c r="L758" s="20"/>
    </row>
    <row r="759" spans="12:12" ht="15.75" customHeight="1">
      <c r="L759" s="20"/>
    </row>
    <row r="760" spans="12:12" ht="15.75" customHeight="1">
      <c r="L760" s="20"/>
    </row>
    <row r="761" spans="12:12" ht="15.75" customHeight="1">
      <c r="L761" s="20"/>
    </row>
    <row r="762" spans="12:12" ht="15.75" customHeight="1">
      <c r="L762" s="20"/>
    </row>
    <row r="763" spans="12:12" ht="15.75" customHeight="1">
      <c r="L763" s="20"/>
    </row>
    <row r="764" spans="12:12" ht="15.75" customHeight="1">
      <c r="L764" s="20"/>
    </row>
    <row r="765" spans="12:12" ht="15.75" customHeight="1">
      <c r="L765" s="20"/>
    </row>
    <row r="766" spans="12:12" ht="15.75" customHeight="1">
      <c r="L766" s="20"/>
    </row>
    <row r="767" spans="12:12" ht="15.75" customHeight="1">
      <c r="L767" s="20"/>
    </row>
    <row r="768" spans="12:12" ht="15.75" customHeight="1">
      <c r="L768" s="20"/>
    </row>
    <row r="769" spans="12:12" ht="15.75" customHeight="1">
      <c r="L769" s="20"/>
    </row>
    <row r="770" spans="12:12" ht="15.75" customHeight="1">
      <c r="L770" s="20"/>
    </row>
    <row r="771" spans="12:12" ht="15.75" customHeight="1">
      <c r="L771" s="20"/>
    </row>
    <row r="772" spans="12:12" ht="15.75" customHeight="1">
      <c r="L772" s="20"/>
    </row>
    <row r="773" spans="12:12" ht="15.75" customHeight="1">
      <c r="L773" s="20"/>
    </row>
    <row r="774" spans="12:12" ht="15.75" customHeight="1">
      <c r="L774" s="20"/>
    </row>
    <row r="775" spans="12:12" ht="15.75" customHeight="1">
      <c r="L775" s="20"/>
    </row>
    <row r="776" spans="12:12" ht="15.75" customHeight="1">
      <c r="L776" s="20"/>
    </row>
    <row r="777" spans="12:12" ht="15.75" customHeight="1">
      <c r="L777" s="20"/>
    </row>
    <row r="778" spans="12:12" ht="15.75" customHeight="1">
      <c r="L778" s="20"/>
    </row>
    <row r="779" spans="12:12" ht="15.75" customHeight="1">
      <c r="L779" s="20"/>
    </row>
    <row r="780" spans="12:12" ht="15.75" customHeight="1">
      <c r="L780" s="20"/>
    </row>
    <row r="781" spans="12:12" ht="15.75" customHeight="1">
      <c r="L781" s="20"/>
    </row>
    <row r="782" spans="12:12" ht="15.75" customHeight="1">
      <c r="L782" s="20"/>
    </row>
    <row r="783" spans="12:12" ht="15.75" customHeight="1">
      <c r="L783" s="20"/>
    </row>
    <row r="784" spans="12:12" ht="15.75" customHeight="1">
      <c r="L784" s="20"/>
    </row>
    <row r="785" spans="12:12" ht="15.75" customHeight="1">
      <c r="L785" s="20"/>
    </row>
    <row r="786" spans="12:12" ht="15.75" customHeight="1">
      <c r="L786" s="20"/>
    </row>
    <row r="787" spans="12:12" ht="15.75" customHeight="1">
      <c r="L787" s="20"/>
    </row>
    <row r="788" spans="12:12" ht="15.75" customHeight="1">
      <c r="L788" s="20"/>
    </row>
    <row r="789" spans="12:12" ht="15.75" customHeight="1">
      <c r="L789" s="20"/>
    </row>
    <row r="790" spans="12:12" ht="15.75" customHeight="1">
      <c r="L790" s="20"/>
    </row>
    <row r="791" spans="12:12" ht="15.75" customHeight="1">
      <c r="L791" s="20"/>
    </row>
    <row r="792" spans="12:12" ht="15.75" customHeight="1">
      <c r="L792" s="20"/>
    </row>
    <row r="793" spans="12:12" ht="15.75" customHeight="1">
      <c r="L793" s="20"/>
    </row>
    <row r="794" spans="12:12" ht="15.75" customHeight="1">
      <c r="L794" s="20"/>
    </row>
    <row r="795" spans="12:12" ht="15.75" customHeight="1">
      <c r="L795" s="20"/>
    </row>
    <row r="796" spans="12:12" ht="15.75" customHeight="1">
      <c r="L796" s="20"/>
    </row>
    <row r="797" spans="12:12" ht="15.75" customHeight="1">
      <c r="L797" s="20"/>
    </row>
    <row r="798" spans="12:12" ht="15.75" customHeight="1">
      <c r="L798" s="20"/>
    </row>
    <row r="799" spans="12:12" ht="15.75" customHeight="1">
      <c r="L799" s="20"/>
    </row>
    <row r="800" spans="12:12" ht="15.75" customHeight="1">
      <c r="L800" s="20"/>
    </row>
    <row r="801" spans="12:12" ht="15.75" customHeight="1">
      <c r="L801" s="20"/>
    </row>
    <row r="802" spans="12:12" ht="15.75" customHeight="1">
      <c r="L802" s="20"/>
    </row>
    <row r="803" spans="12:12" ht="15.75" customHeight="1">
      <c r="L803" s="20"/>
    </row>
    <row r="804" spans="12:12" ht="15.75" customHeight="1">
      <c r="L804" s="20"/>
    </row>
    <row r="805" spans="12:12" ht="15.75" customHeight="1">
      <c r="L805" s="20"/>
    </row>
    <row r="806" spans="12:12" ht="15.75" customHeight="1">
      <c r="L806" s="20"/>
    </row>
    <row r="807" spans="12:12" ht="15.75" customHeight="1">
      <c r="L807" s="20"/>
    </row>
    <row r="808" spans="12:12" ht="15.75" customHeight="1">
      <c r="L808" s="20"/>
    </row>
    <row r="809" spans="12:12" ht="15.75" customHeight="1">
      <c r="L809" s="20"/>
    </row>
    <row r="810" spans="12:12" ht="15.75" customHeight="1">
      <c r="L810" s="20"/>
    </row>
    <row r="811" spans="12:12" ht="15.75" customHeight="1">
      <c r="L811" s="20"/>
    </row>
    <row r="812" spans="12:12" ht="15.75" customHeight="1">
      <c r="L812" s="20"/>
    </row>
    <row r="813" spans="12:12" ht="15.75" customHeight="1">
      <c r="L813" s="20"/>
    </row>
    <row r="814" spans="12:12" ht="15.75" customHeight="1">
      <c r="L814" s="20"/>
    </row>
    <row r="815" spans="12:12" ht="15.75" customHeight="1">
      <c r="L815" s="20"/>
    </row>
    <row r="816" spans="12:12" ht="15.75" customHeight="1">
      <c r="L816" s="20"/>
    </row>
    <row r="817" spans="12:12" ht="15.75" customHeight="1">
      <c r="L817" s="20"/>
    </row>
    <row r="818" spans="12:12" ht="15.75" customHeight="1">
      <c r="L818" s="20"/>
    </row>
    <row r="819" spans="12:12" ht="15.75" customHeight="1">
      <c r="L819" s="20"/>
    </row>
    <row r="820" spans="12:12" ht="15.75" customHeight="1">
      <c r="L820" s="20"/>
    </row>
    <row r="821" spans="12:12" ht="15.75" customHeight="1">
      <c r="L821" s="20"/>
    </row>
    <row r="822" spans="12:12" ht="15.75" customHeight="1">
      <c r="L822" s="20"/>
    </row>
    <row r="823" spans="12:12" ht="15.75" customHeight="1">
      <c r="L823" s="20"/>
    </row>
    <row r="824" spans="12:12" ht="15.75" customHeight="1">
      <c r="L824" s="20"/>
    </row>
    <row r="825" spans="12:12" ht="15.75" customHeight="1">
      <c r="L825" s="20"/>
    </row>
    <row r="826" spans="12:12" ht="15.75" customHeight="1">
      <c r="L826" s="20"/>
    </row>
    <row r="827" spans="12:12" ht="15.75" customHeight="1">
      <c r="L827" s="20"/>
    </row>
    <row r="828" spans="12:12" ht="15.75" customHeight="1">
      <c r="L828" s="20"/>
    </row>
    <row r="829" spans="12:12" ht="15.75" customHeight="1">
      <c r="L829" s="20"/>
    </row>
    <row r="830" spans="12:12" ht="15.75" customHeight="1">
      <c r="L830" s="20"/>
    </row>
    <row r="831" spans="12:12" ht="15.75" customHeight="1">
      <c r="L831" s="20"/>
    </row>
    <row r="832" spans="12:12" ht="15.75" customHeight="1">
      <c r="L832" s="20"/>
    </row>
    <row r="833" spans="12:12" ht="15.75" customHeight="1">
      <c r="L833" s="20"/>
    </row>
    <row r="834" spans="12:12" ht="15.75" customHeight="1">
      <c r="L834" s="20"/>
    </row>
    <row r="835" spans="12:12" ht="15.75" customHeight="1">
      <c r="L835" s="20"/>
    </row>
    <row r="836" spans="12:12" ht="15.75" customHeight="1">
      <c r="L836" s="20"/>
    </row>
    <row r="837" spans="12:12" ht="15.75" customHeight="1">
      <c r="L837" s="20"/>
    </row>
    <row r="838" spans="12:12" ht="15.75" customHeight="1">
      <c r="L838" s="20"/>
    </row>
    <row r="839" spans="12:12" ht="15.75" customHeight="1">
      <c r="L839" s="20"/>
    </row>
    <row r="840" spans="12:12" ht="15.75" customHeight="1">
      <c r="L840" s="20"/>
    </row>
    <row r="841" spans="12:12" ht="15.75" customHeight="1">
      <c r="L841" s="20"/>
    </row>
    <row r="842" spans="12:12" ht="15.75" customHeight="1">
      <c r="L842" s="20"/>
    </row>
    <row r="843" spans="12:12" ht="15.75" customHeight="1">
      <c r="L843" s="20"/>
    </row>
    <row r="844" spans="12:12" ht="15.75" customHeight="1">
      <c r="L844" s="20"/>
    </row>
    <row r="845" spans="12:12" ht="15.75" customHeight="1">
      <c r="L845" s="20"/>
    </row>
    <row r="846" spans="12:12" ht="15.75" customHeight="1">
      <c r="L846" s="20"/>
    </row>
    <row r="847" spans="12:12" ht="15.75" customHeight="1">
      <c r="L847" s="20"/>
    </row>
    <row r="848" spans="12:12" ht="15.75" customHeight="1">
      <c r="L848" s="20"/>
    </row>
    <row r="849" spans="12:12" ht="15.75" customHeight="1">
      <c r="L849" s="20"/>
    </row>
    <row r="850" spans="12:12" ht="15.75" customHeight="1">
      <c r="L850" s="20"/>
    </row>
    <row r="851" spans="12:12" ht="15.75" customHeight="1">
      <c r="L851" s="20"/>
    </row>
    <row r="852" spans="12:12" ht="15.75" customHeight="1">
      <c r="L852" s="20"/>
    </row>
    <row r="853" spans="12:12" ht="15.75" customHeight="1">
      <c r="L853" s="20"/>
    </row>
    <row r="854" spans="12:12" ht="15.75" customHeight="1">
      <c r="L854" s="20"/>
    </row>
    <row r="855" spans="12:12" ht="15.75" customHeight="1">
      <c r="L855" s="20"/>
    </row>
    <row r="856" spans="12:12" ht="15.75" customHeight="1">
      <c r="L856" s="20"/>
    </row>
    <row r="857" spans="12:12" ht="15.75" customHeight="1">
      <c r="L857" s="20"/>
    </row>
    <row r="858" spans="12:12" ht="15.75" customHeight="1">
      <c r="L858" s="20"/>
    </row>
    <row r="859" spans="12:12" ht="15.75" customHeight="1">
      <c r="L859" s="20"/>
    </row>
    <row r="860" spans="12:12" ht="15.75" customHeight="1">
      <c r="L860" s="20"/>
    </row>
    <row r="861" spans="12:12" ht="15.75" customHeight="1">
      <c r="L861" s="20"/>
    </row>
    <row r="862" spans="12:12" ht="15.75" customHeight="1">
      <c r="L862" s="20"/>
    </row>
    <row r="863" spans="12:12" ht="15.75" customHeight="1">
      <c r="L863" s="20"/>
    </row>
    <row r="864" spans="12:12" ht="15.75" customHeight="1">
      <c r="L864" s="20"/>
    </row>
    <row r="865" spans="12:12" ht="15.75" customHeight="1">
      <c r="L865" s="20"/>
    </row>
    <row r="866" spans="12:12" ht="15.75" customHeight="1">
      <c r="L866" s="20"/>
    </row>
    <row r="867" spans="12:12" ht="15.75" customHeight="1">
      <c r="L867" s="20"/>
    </row>
    <row r="868" spans="12:12" ht="15.75" customHeight="1">
      <c r="L868" s="20"/>
    </row>
    <row r="869" spans="12:12" ht="15.75" customHeight="1">
      <c r="L869" s="20"/>
    </row>
    <row r="870" spans="12:12" ht="15.75" customHeight="1">
      <c r="L870" s="20"/>
    </row>
    <row r="871" spans="12:12" ht="15.75" customHeight="1">
      <c r="L871" s="20"/>
    </row>
    <row r="872" spans="12:12" ht="15.75" customHeight="1">
      <c r="L872" s="20"/>
    </row>
    <row r="873" spans="12:12" ht="15.75" customHeight="1">
      <c r="L873" s="20"/>
    </row>
    <row r="874" spans="12:12" ht="15.75" customHeight="1">
      <c r="L874" s="20"/>
    </row>
    <row r="875" spans="12:12" ht="15.75" customHeight="1">
      <c r="L875" s="20"/>
    </row>
    <row r="876" spans="12:12" ht="15.75" customHeight="1">
      <c r="L876" s="20"/>
    </row>
    <row r="877" spans="12:12" ht="15.75" customHeight="1">
      <c r="L877" s="20"/>
    </row>
    <row r="878" spans="12:12" ht="15.75" customHeight="1">
      <c r="L878" s="20"/>
    </row>
    <row r="879" spans="12:12" ht="15.75" customHeight="1">
      <c r="L879" s="20"/>
    </row>
    <row r="880" spans="12:12" ht="15.75" customHeight="1">
      <c r="L880" s="20"/>
    </row>
    <row r="881" spans="12:12" ht="15.75" customHeight="1">
      <c r="L881" s="20"/>
    </row>
    <row r="882" spans="12:12" ht="15.75" customHeight="1">
      <c r="L882" s="20"/>
    </row>
    <row r="883" spans="12:12" ht="15.75" customHeight="1">
      <c r="L883" s="20"/>
    </row>
    <row r="884" spans="12:12" ht="15.75" customHeight="1">
      <c r="L884" s="20"/>
    </row>
    <row r="885" spans="12:12" ht="15.75" customHeight="1">
      <c r="L885" s="20"/>
    </row>
    <row r="886" spans="12:12" ht="15.75" customHeight="1">
      <c r="L886" s="20"/>
    </row>
    <row r="887" spans="12:12" ht="15.75" customHeight="1">
      <c r="L887" s="20"/>
    </row>
    <row r="888" spans="12:12" ht="15.75" customHeight="1">
      <c r="L888" s="20"/>
    </row>
    <row r="889" spans="12:12" ht="15.75" customHeight="1">
      <c r="L889" s="20"/>
    </row>
    <row r="890" spans="12:12" ht="15.75" customHeight="1">
      <c r="L890" s="20"/>
    </row>
    <row r="891" spans="12:12" ht="15.75" customHeight="1">
      <c r="L891" s="20"/>
    </row>
    <row r="892" spans="12:12" ht="15.75" customHeight="1">
      <c r="L892" s="20"/>
    </row>
    <row r="893" spans="12:12" ht="15.75" customHeight="1">
      <c r="L893" s="20"/>
    </row>
    <row r="894" spans="12:12" ht="15.75" customHeight="1">
      <c r="L894" s="20"/>
    </row>
    <row r="895" spans="12:12" ht="15.75" customHeight="1">
      <c r="L895" s="20"/>
    </row>
    <row r="896" spans="12:12" ht="15.75" customHeight="1">
      <c r="L896" s="20"/>
    </row>
    <row r="897" spans="12:12" ht="15.75" customHeight="1">
      <c r="L897" s="20"/>
    </row>
    <row r="898" spans="12:12" ht="15.75" customHeight="1">
      <c r="L898" s="20"/>
    </row>
    <row r="899" spans="12:12" ht="15.75" customHeight="1">
      <c r="L899" s="20"/>
    </row>
    <row r="900" spans="12:12" ht="15.75" customHeight="1">
      <c r="L900" s="20"/>
    </row>
    <row r="901" spans="12:12" ht="15.75" customHeight="1">
      <c r="L901" s="20"/>
    </row>
    <row r="902" spans="12:12" ht="15.75" customHeight="1">
      <c r="L902" s="20"/>
    </row>
    <row r="903" spans="12:12" ht="15.75" customHeight="1">
      <c r="L903" s="20"/>
    </row>
    <row r="904" spans="12:12" ht="15.75" customHeight="1">
      <c r="L904" s="20"/>
    </row>
    <row r="905" spans="12:12" ht="15.75" customHeight="1">
      <c r="L905" s="20"/>
    </row>
    <row r="906" spans="12:12" ht="15.75" customHeight="1">
      <c r="L906" s="20"/>
    </row>
    <row r="907" spans="12:12" ht="15.75" customHeight="1">
      <c r="L907" s="20"/>
    </row>
    <row r="908" spans="12:12" ht="15.75" customHeight="1">
      <c r="L908" s="20"/>
    </row>
    <row r="909" spans="12:12" ht="15.75" customHeight="1">
      <c r="L909" s="20"/>
    </row>
    <row r="910" spans="12:12" ht="15.75" customHeight="1">
      <c r="L910" s="20"/>
    </row>
    <row r="911" spans="12:12" ht="15.75" customHeight="1">
      <c r="L911" s="20"/>
    </row>
    <row r="912" spans="12:12" ht="15.75" customHeight="1">
      <c r="L912" s="20"/>
    </row>
    <row r="913" spans="12:12" ht="15.75" customHeight="1">
      <c r="L913" s="20"/>
    </row>
    <row r="914" spans="12:12" ht="15.75" customHeight="1">
      <c r="L914" s="20"/>
    </row>
    <row r="915" spans="12:12" ht="15.75" customHeight="1">
      <c r="L915" s="20"/>
    </row>
    <row r="916" spans="12:12" ht="15.75" customHeight="1">
      <c r="L916" s="20"/>
    </row>
    <row r="917" spans="12:12" ht="15.75" customHeight="1">
      <c r="L917" s="20"/>
    </row>
    <row r="918" spans="12:12" ht="15.75" customHeight="1">
      <c r="L918" s="20"/>
    </row>
    <row r="919" spans="12:12" ht="15.75" customHeight="1">
      <c r="L919" s="20"/>
    </row>
    <row r="920" spans="12:12" ht="15.75" customHeight="1">
      <c r="L920" s="20"/>
    </row>
    <row r="921" spans="12:12" ht="15.75" customHeight="1">
      <c r="L921" s="20"/>
    </row>
    <row r="922" spans="12:12" ht="15.75" customHeight="1">
      <c r="L922" s="20"/>
    </row>
    <row r="923" spans="12:12" ht="15.75" customHeight="1">
      <c r="L923" s="20"/>
    </row>
    <row r="924" spans="12:12" ht="15.75" customHeight="1">
      <c r="L924" s="20"/>
    </row>
    <row r="925" spans="12:12" ht="15.75" customHeight="1">
      <c r="L925" s="20"/>
    </row>
    <row r="926" spans="12:12" ht="15.75" customHeight="1">
      <c r="L926" s="20"/>
    </row>
    <row r="927" spans="12:12" ht="15.75" customHeight="1">
      <c r="L927" s="20"/>
    </row>
    <row r="928" spans="12:12" ht="15.75" customHeight="1">
      <c r="L928" s="20"/>
    </row>
    <row r="929" spans="12:12" ht="15.75" customHeight="1">
      <c r="L929" s="20"/>
    </row>
    <row r="930" spans="12:12" ht="15.75" customHeight="1">
      <c r="L930" s="20"/>
    </row>
    <row r="931" spans="12:12" ht="15.75" customHeight="1">
      <c r="L931" s="20"/>
    </row>
    <row r="932" spans="12:12" ht="15.75" customHeight="1">
      <c r="L932" s="20"/>
    </row>
    <row r="933" spans="12:12" ht="15.75" customHeight="1">
      <c r="L933" s="20"/>
    </row>
    <row r="934" spans="12:12" ht="15.75" customHeight="1">
      <c r="L934" s="20"/>
    </row>
    <row r="935" spans="12:12" ht="15.75" customHeight="1">
      <c r="L935" s="20"/>
    </row>
    <row r="936" spans="12:12" ht="15.75" customHeight="1">
      <c r="L936" s="20"/>
    </row>
    <row r="937" spans="12:12" ht="15.75" customHeight="1">
      <c r="L937" s="20"/>
    </row>
    <row r="938" spans="12:12" ht="15.75" customHeight="1">
      <c r="L938" s="20"/>
    </row>
    <row r="939" spans="12:12" ht="15.75" customHeight="1">
      <c r="L939" s="20"/>
    </row>
    <row r="940" spans="12:12" ht="15.75" customHeight="1">
      <c r="L940" s="20"/>
    </row>
    <row r="941" spans="12:12" ht="15.75" customHeight="1">
      <c r="L941" s="20"/>
    </row>
    <row r="942" spans="12:12" ht="15.75" customHeight="1">
      <c r="L942" s="20"/>
    </row>
    <row r="943" spans="12:12" ht="15.75" customHeight="1">
      <c r="L943" s="20"/>
    </row>
    <row r="944" spans="12:12" ht="15.75" customHeight="1">
      <c r="L944" s="20"/>
    </row>
    <row r="945" spans="12:12" ht="15.75" customHeight="1">
      <c r="L945" s="20"/>
    </row>
    <row r="946" spans="12:12" ht="15.75" customHeight="1">
      <c r="L946" s="20"/>
    </row>
    <row r="947" spans="12:12" ht="15.75" customHeight="1">
      <c r="L947" s="20"/>
    </row>
    <row r="948" spans="12:12" ht="15.75" customHeight="1">
      <c r="L948" s="20"/>
    </row>
    <row r="949" spans="12:12" ht="15.75" customHeight="1">
      <c r="L949" s="20"/>
    </row>
    <row r="950" spans="12:12" ht="15.75" customHeight="1">
      <c r="L950" s="20"/>
    </row>
    <row r="951" spans="12:12" ht="15.75" customHeight="1">
      <c r="L951" s="20"/>
    </row>
    <row r="952" spans="12:12" ht="15.75" customHeight="1">
      <c r="L952" s="20"/>
    </row>
    <row r="953" spans="12:12" ht="15.75" customHeight="1">
      <c r="L953" s="20"/>
    </row>
    <row r="954" spans="12:12" ht="15.75" customHeight="1">
      <c r="L954" s="20"/>
    </row>
    <row r="955" spans="12:12" ht="15.75" customHeight="1">
      <c r="L955" s="20"/>
    </row>
    <row r="956" spans="12:12" ht="15.75" customHeight="1">
      <c r="L956" s="20"/>
    </row>
    <row r="957" spans="12:12" ht="15.75" customHeight="1">
      <c r="L957" s="20"/>
    </row>
    <row r="958" spans="12:12" ht="15.75" customHeight="1">
      <c r="L958" s="20"/>
    </row>
    <row r="959" spans="12:12" ht="15.75" customHeight="1">
      <c r="L959" s="20"/>
    </row>
    <row r="960" spans="12:12" ht="15.75" customHeight="1">
      <c r="L960" s="20"/>
    </row>
    <row r="961" spans="12:12" ht="15.75" customHeight="1">
      <c r="L961" s="20"/>
    </row>
    <row r="962" spans="12:12" ht="15.75" customHeight="1">
      <c r="L962" s="20"/>
    </row>
    <row r="963" spans="12:12" ht="15.75" customHeight="1">
      <c r="L963" s="20"/>
    </row>
    <row r="964" spans="12:12" ht="15.75" customHeight="1">
      <c r="L964" s="20"/>
    </row>
    <row r="965" spans="12:12" ht="15.75" customHeight="1">
      <c r="L965" s="20"/>
    </row>
    <row r="966" spans="12:12" ht="15.75" customHeight="1">
      <c r="L966" s="20"/>
    </row>
    <row r="967" spans="12:12" ht="15.75" customHeight="1">
      <c r="L967" s="20"/>
    </row>
    <row r="968" spans="12:12" ht="15.75" customHeight="1">
      <c r="L968" s="20"/>
    </row>
    <row r="969" spans="12:12" ht="15.75" customHeight="1">
      <c r="L969" s="20"/>
    </row>
    <row r="970" spans="12:12" ht="15.75" customHeight="1">
      <c r="L970" s="20"/>
    </row>
    <row r="971" spans="12:12" ht="15.75" customHeight="1">
      <c r="L971" s="20"/>
    </row>
    <row r="972" spans="12:12" ht="15.75" customHeight="1">
      <c r="L972" s="20"/>
    </row>
    <row r="973" spans="12:12" ht="15.75" customHeight="1">
      <c r="L973" s="20"/>
    </row>
    <row r="974" spans="12:12" ht="15.75" customHeight="1">
      <c r="L974" s="20"/>
    </row>
    <row r="975" spans="12:12" ht="15.75" customHeight="1">
      <c r="L975" s="20"/>
    </row>
    <row r="976" spans="12:12" ht="15.75" customHeight="1">
      <c r="L976" s="20"/>
    </row>
    <row r="977" spans="12:12" ht="15.75" customHeight="1">
      <c r="L977" s="20"/>
    </row>
    <row r="978" spans="12:12" ht="15.75" customHeight="1">
      <c r="L978" s="20"/>
    </row>
    <row r="979" spans="12:12" ht="15.75" customHeight="1">
      <c r="L979" s="20"/>
    </row>
    <row r="980" spans="12:12" ht="15.75" customHeight="1">
      <c r="L980" s="20"/>
    </row>
    <row r="981" spans="12:12" ht="15.75" customHeight="1">
      <c r="L981" s="20"/>
    </row>
    <row r="982" spans="12:12" ht="15.75" customHeight="1">
      <c r="L982" s="20"/>
    </row>
    <row r="983" spans="12:12" ht="15.75" customHeight="1">
      <c r="L983" s="20"/>
    </row>
    <row r="984" spans="12:12" ht="15.75" customHeight="1">
      <c r="L984" s="20"/>
    </row>
    <row r="985" spans="12:12" ht="15.75" customHeight="1">
      <c r="L985" s="20"/>
    </row>
    <row r="986" spans="12:12" ht="15.75" customHeight="1">
      <c r="L986" s="20"/>
    </row>
    <row r="987" spans="12:12" ht="15.75" customHeight="1">
      <c r="L987" s="20"/>
    </row>
    <row r="988" spans="12:12" ht="15.75" customHeight="1">
      <c r="L988" s="20"/>
    </row>
    <row r="989" spans="12:12" ht="15.75" customHeight="1">
      <c r="L989" s="20"/>
    </row>
    <row r="990" spans="12:12" ht="15.75" customHeight="1">
      <c r="L990" s="20"/>
    </row>
    <row r="991" spans="12:12" ht="15.75" customHeight="1">
      <c r="L991" s="20"/>
    </row>
    <row r="992" spans="12:12" ht="15.75" customHeight="1">
      <c r="L992" s="20"/>
    </row>
  </sheetData>
  <autoFilter ref="A7:Y7">
    <filterColumn colId="8"/>
    <filterColumn colId="9"/>
    <filterColumn colId="10"/>
    <filterColumn colId="22"/>
    <filterColumn colId="23"/>
  </autoFilter>
  <mergeCells count="19">
    <mergeCell ref="A6:AC6"/>
    <mergeCell ref="A1:AA1"/>
    <mergeCell ref="A2:AA2"/>
    <mergeCell ref="E3:H3"/>
    <mergeCell ref="A3:D3"/>
    <mergeCell ref="A4:D4"/>
    <mergeCell ref="E4:H4"/>
    <mergeCell ref="I4:K4"/>
    <mergeCell ref="V3:Y3"/>
    <mergeCell ref="V4:Y4"/>
    <mergeCell ref="I3:K3"/>
    <mergeCell ref="T4:U4"/>
    <mergeCell ref="T3:U3"/>
    <mergeCell ref="R3:S3"/>
    <mergeCell ref="R4:S4"/>
    <mergeCell ref="L3:N3"/>
    <mergeCell ref="L4:N4"/>
    <mergeCell ref="O3:Q3"/>
    <mergeCell ref="O4:Q4"/>
  </mergeCells>
  <conditionalFormatting sqref="L8:L992 I8:I18">
    <cfRule type="cellIs" dxfId="56" priority="44" operator="equal">
      <formula>"Sold"</formula>
    </cfRule>
  </conditionalFormatting>
  <conditionalFormatting sqref="L8:L992 I8:I18">
    <cfRule type="cellIs" dxfId="55" priority="45" operator="equal">
      <formula>"Available"</formula>
    </cfRule>
  </conditionalFormatting>
  <conditionalFormatting sqref="L8:L992 I8:I18">
    <cfRule type="cellIs" dxfId="54" priority="46" operator="equal">
      <formula>"Hold"</formula>
    </cfRule>
  </conditionalFormatting>
  <conditionalFormatting sqref="L8:L992 I8:I18">
    <cfRule type="cellIs" dxfId="53" priority="47" operator="equal">
      <formula>"Cancelled"</formula>
    </cfRule>
  </conditionalFormatting>
  <conditionalFormatting sqref="L8:L18">
    <cfRule type="cellIs" dxfId="52" priority="40" operator="equal">
      <formula>"Available"</formula>
    </cfRule>
    <cfRule type="cellIs" dxfId="51" priority="41" operator="equal">
      <formula>"Sold"</formula>
    </cfRule>
    <cfRule type="cellIs" dxfId="50" priority="42" operator="equal">
      <formula>"Cancelled"</formula>
    </cfRule>
    <cfRule type="cellIs" dxfId="49" priority="43" operator="equal">
      <formula>"Possession Given"</formula>
    </cfRule>
  </conditionalFormatting>
  <conditionalFormatting sqref="M8:M18">
    <cfRule type="cellIs" dxfId="48" priority="19" operator="equal">
      <formula>"Sold"</formula>
    </cfRule>
  </conditionalFormatting>
  <conditionalFormatting sqref="M8:M18">
    <cfRule type="cellIs" dxfId="47" priority="18" operator="equal">
      <formula>"Available"</formula>
    </cfRule>
  </conditionalFormatting>
  <conditionalFormatting sqref="M8:M18">
    <cfRule type="cellIs" dxfId="46" priority="17" operator="equal">
      <formula>"Hold"</formula>
    </cfRule>
  </conditionalFormatting>
  <conditionalFormatting sqref="M8:M18">
    <cfRule type="cellIs" dxfId="45" priority="16" operator="equal">
      <formula>"Cancelled"</formula>
    </cfRule>
  </conditionalFormatting>
  <conditionalFormatting sqref="M8:M18">
    <cfRule type="cellIs" dxfId="44" priority="12" operator="equal">
      <formula>"Available"</formula>
    </cfRule>
    <cfRule type="cellIs" dxfId="43" priority="13" operator="equal">
      <formula>"Sold"</formula>
    </cfRule>
    <cfRule type="cellIs" dxfId="42" priority="14" operator="equal">
      <formula>"Cancelled"</formula>
    </cfRule>
    <cfRule type="cellIs" dxfId="41" priority="15" operator="equal">
      <formula>"Possession Given"</formula>
    </cfRule>
  </conditionalFormatting>
  <conditionalFormatting sqref="N8:N18">
    <cfRule type="cellIs" dxfId="40" priority="11" operator="equal">
      <formula>"Sold"</formula>
    </cfRule>
  </conditionalFormatting>
  <conditionalFormatting sqref="N8:N18">
    <cfRule type="cellIs" dxfId="39" priority="10" operator="equal">
      <formula>"Available"</formula>
    </cfRule>
  </conditionalFormatting>
  <conditionalFormatting sqref="N8:N18">
    <cfRule type="cellIs" dxfId="38" priority="9" operator="equal">
      <formula>"Hold"</formula>
    </cfRule>
  </conditionalFormatting>
  <conditionalFormatting sqref="N8:N18">
    <cfRule type="cellIs" dxfId="37" priority="8" operator="equal">
      <formula>"Cancelled"</formula>
    </cfRule>
  </conditionalFormatting>
  <conditionalFormatting sqref="N8:N18">
    <cfRule type="cellIs" dxfId="36" priority="4" operator="equal">
      <formula>"Available"</formula>
    </cfRule>
    <cfRule type="cellIs" dxfId="35" priority="5" operator="equal">
      <formula>"Sold"</formula>
    </cfRule>
    <cfRule type="cellIs" dxfId="34" priority="6" operator="equal">
      <formula>"Cancelled"</formula>
    </cfRule>
    <cfRule type="cellIs" dxfId="33" priority="7" operator="equal">
      <formula>"Possession Given"</formula>
    </cfRule>
  </conditionalFormatting>
  <conditionalFormatting sqref="N8:N18">
    <cfRule type="cellIs" dxfId="32" priority="3" operator="equal">
      <formula>"Cleared"</formula>
    </cfRule>
  </conditionalFormatting>
  <conditionalFormatting sqref="N8:N18">
    <cfRule type="cellIs" dxfId="31" priority="2" operator="equal">
      <formula>"Unpaid"</formula>
    </cfRule>
  </conditionalFormatting>
  <conditionalFormatting sqref="N8:N18">
    <cfRule type="cellIs" dxfId="30" priority="1" operator="equal">
      <formula>"Active"</formula>
    </cfRule>
  </conditionalFormatting>
  <dataValidations count="2">
    <dataValidation type="list" allowBlank="1" showInputMessage="1" showErrorMessage="1" prompt="Invalid - Use dropdown: Available|Hold|Booked|Sold|Cancelled" sqref="L19:L992">
      <formula1>"Available,Hold,Booked,Sold,Cancelled"</formula1>
    </dataValidation>
    <dataValidation type="list" showErrorMessage="1" errorTitle="Invalid" error="Select from list" sqref="L8:L18">
      <formula1>"Available,Booked,Sold,Possession Given,Cancelled,Hold"</formula1>
    </dataValidation>
  </dataValidations>
  <pageMargins left="0.5" right="0.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T990"/>
  <sheetViews>
    <sheetView showGridLines="0" workbookViewId="0">
      <pane ySplit="4" topLeftCell="A5" activePane="bottomLeft" state="frozen"/>
      <selection pane="bottomLeft" activeCell="K9" sqref="K9"/>
    </sheetView>
  </sheetViews>
  <sheetFormatPr defaultColWidth="14.42578125" defaultRowHeight="15" customHeight="1"/>
  <cols>
    <col min="1" max="1" width="12" customWidth="1"/>
    <col min="2" max="2" width="23" bestFit="1" customWidth="1"/>
    <col min="3" max="3" width="22" customWidth="1"/>
    <col min="4" max="4" width="20" customWidth="1"/>
    <col min="5" max="5" width="18" customWidth="1"/>
    <col min="6" max="7" width="14" customWidth="1"/>
    <col min="8" max="8" width="26" customWidth="1"/>
    <col min="9" max="9" width="32" customWidth="1"/>
    <col min="10" max="10" width="14" customWidth="1"/>
    <col min="11" max="11" width="10" customWidth="1"/>
    <col min="12" max="14" width="16" customWidth="1"/>
    <col min="15" max="15" width="10" customWidth="1"/>
    <col min="16" max="16" width="12" customWidth="1"/>
    <col min="17" max="17" width="22.140625" bestFit="1" customWidth="1"/>
    <col min="18" max="18" width="22.5703125" bestFit="1" customWidth="1"/>
    <col min="19" max="19" width="21.42578125" bestFit="1" customWidth="1"/>
    <col min="20" max="20" width="22" customWidth="1"/>
    <col min="21" max="27" width="8.7109375" customWidth="1"/>
  </cols>
  <sheetData>
    <row r="1" spans="1:20" ht="37.5" customHeight="1">
      <c r="A1" s="132" t="s">
        <v>724</v>
      </c>
      <c r="B1" s="202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</row>
    <row r="2" spans="1:20" ht="18" customHeight="1">
      <c r="A2" s="133" t="s">
        <v>725</v>
      </c>
      <c r="B2" s="20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5"/>
    </row>
    <row r="3" spans="1:20" ht="21.75" customHeight="1">
      <c r="A3" s="136" t="s">
        <v>166</v>
      </c>
      <c r="B3" s="20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</row>
    <row r="4" spans="1:20" ht="30" customHeight="1">
      <c r="A4" s="1" t="s">
        <v>372</v>
      </c>
      <c r="B4" s="1" t="s">
        <v>726</v>
      </c>
      <c r="C4" s="1" t="s">
        <v>373</v>
      </c>
      <c r="D4" s="1" t="s">
        <v>731</v>
      </c>
      <c r="E4" s="1" t="s">
        <v>130</v>
      </c>
      <c r="F4" s="1" t="s">
        <v>131</v>
      </c>
      <c r="G4" s="1" t="s">
        <v>167</v>
      </c>
      <c r="H4" s="1" t="s">
        <v>213</v>
      </c>
      <c r="I4" s="1" t="s">
        <v>168</v>
      </c>
      <c r="J4" s="1" t="s">
        <v>169</v>
      </c>
      <c r="K4" s="1" t="s">
        <v>371</v>
      </c>
      <c r="L4" s="1" t="s">
        <v>170</v>
      </c>
      <c r="M4" s="1" t="s">
        <v>171</v>
      </c>
      <c r="N4" s="1" t="s">
        <v>153</v>
      </c>
      <c r="O4" s="1" t="s">
        <v>172</v>
      </c>
      <c r="P4" s="1" t="s">
        <v>173</v>
      </c>
      <c r="Q4" s="1" t="s">
        <v>174</v>
      </c>
      <c r="R4" s="1" t="s">
        <v>175</v>
      </c>
      <c r="S4" s="1" t="s">
        <v>587</v>
      </c>
      <c r="T4" s="1" t="s">
        <v>156</v>
      </c>
    </row>
    <row r="5" spans="1:20" ht="19.5" customHeight="1">
      <c r="A5" s="70" t="s">
        <v>158</v>
      </c>
      <c r="B5" s="70" t="s">
        <v>729</v>
      </c>
      <c r="C5" s="70" t="s">
        <v>657</v>
      </c>
      <c r="D5" s="70" t="s">
        <v>658</v>
      </c>
      <c r="E5" s="70" t="s">
        <v>176</v>
      </c>
      <c r="F5" s="70" t="s">
        <v>177</v>
      </c>
      <c r="G5" s="70" t="s">
        <v>177</v>
      </c>
      <c r="H5" s="70" t="s">
        <v>178</v>
      </c>
      <c r="I5" s="70" t="s">
        <v>179</v>
      </c>
      <c r="J5" s="70" t="s">
        <v>180</v>
      </c>
      <c r="K5" s="96">
        <v>202</v>
      </c>
      <c r="L5" s="3">
        <f>IFERROR(VLOOKUP(K5,'🏘️ Flat Register'!A:H,8,0),0)</f>
        <v>5670000</v>
      </c>
      <c r="M5" s="3">
        <f>IFERROR(SUMIF('💳 PAYMENTS Entery'!G:G,K5,'💳 PAYMENTS Entery'!H:H),0)</f>
        <v>2430000</v>
      </c>
      <c r="N5" s="3">
        <f t="shared" ref="N5" si="0">L5-M5</f>
        <v>3240000</v>
      </c>
      <c r="O5" s="4">
        <f t="shared" ref="O5" si="1">IFERROR(M5/L5,0)</f>
        <v>0.42857142857142855</v>
      </c>
      <c r="P5" s="2" t="str">
        <f t="shared" ref="P5" si="2">IF(N5=0,"Cleared",IF(M5=0,"Unpaid","Active"))</f>
        <v>Active</v>
      </c>
      <c r="Q5" s="3">
        <f ca="1">IFERROR(MINIFS('📅 Installments AUTO'!I:I,'📅 Installments AUTO'!C:C,K5,'📅 Installments AUTO'!N:N,"Pending"),0)</f>
        <v>0</v>
      </c>
      <c r="R5" s="25" t="str">
        <f ca="1">IFERROR(MINIFS('📅 Installments AUTO'!H:H,'📅 Installments AUTO'!C:C,K5,'📅 Installments AUTO'!N:N,"Pending"),"")</f>
        <v/>
      </c>
      <c r="S5" s="103">
        <v>46157</v>
      </c>
      <c r="T5" s="17"/>
    </row>
    <row r="6" spans="1:20" ht="19.5" customHeight="1">
      <c r="A6" s="88" t="s">
        <v>161</v>
      </c>
      <c r="B6" s="70" t="s">
        <v>730</v>
      </c>
      <c r="C6" s="88" t="s">
        <v>774</v>
      </c>
      <c r="D6" s="88" t="s">
        <v>775</v>
      </c>
      <c r="E6" s="70" t="s">
        <v>176</v>
      </c>
      <c r="F6" s="70" t="s">
        <v>177</v>
      </c>
      <c r="G6" s="70" t="s">
        <v>177</v>
      </c>
      <c r="H6" s="70" t="s">
        <v>178</v>
      </c>
      <c r="I6" s="70" t="s">
        <v>179</v>
      </c>
      <c r="J6" s="70" t="s">
        <v>180</v>
      </c>
      <c r="K6" s="95">
        <v>101</v>
      </c>
      <c r="L6" s="3">
        <f>IFERROR(VLOOKUP(K6,'🏘️ Flat Register'!A:H,8,0),0)</f>
        <v>3915000</v>
      </c>
      <c r="M6" s="3">
        <f>IFERROR(SUMIF('💳 PAYMENTS Entery'!G:G,K6,'💳 PAYMENTS Entery'!H:H),0)</f>
        <v>0</v>
      </c>
      <c r="N6" s="3">
        <f t="shared" ref="N6:N7" si="3">L6-M6</f>
        <v>3915000</v>
      </c>
      <c r="O6" s="4">
        <f t="shared" ref="O6:O7" si="4">IFERROR(M6/L6,0)</f>
        <v>0</v>
      </c>
      <c r="P6" s="2" t="str">
        <f t="shared" ref="P6:P7" si="5">IF(N6=0,"Cleared",IF(M6=0,"Unpaid","Active"))</f>
        <v>Unpaid</v>
      </c>
      <c r="Q6" s="3">
        <f ca="1">IFERROR(MINIFS('📅 Installments AUTO'!I:I,'📅 Installments AUTO'!C:C,K6,'📅 Installments AUTO'!N:N,"Pending"),0)</f>
        <v>0</v>
      </c>
      <c r="R6" s="25" t="str">
        <f ca="1">IFERROR(MINIFS('📅 Installments AUTO'!H:H,'📅 Installments AUTO'!C:C,K6,'📅 Installments AUTO'!N:N,"Pending"),"")</f>
        <v/>
      </c>
      <c r="S6" s="25">
        <v>46188</v>
      </c>
      <c r="T6" s="17"/>
    </row>
    <row r="7" spans="1:20">
      <c r="A7" s="88" t="s">
        <v>777</v>
      </c>
      <c r="B7" s="70" t="s">
        <v>730</v>
      </c>
      <c r="C7" s="88" t="s">
        <v>779</v>
      </c>
      <c r="D7" s="88" t="s">
        <v>775</v>
      </c>
      <c r="E7" s="70" t="s">
        <v>176</v>
      </c>
      <c r="F7" s="70" t="s">
        <v>177</v>
      </c>
      <c r="G7" s="70" t="s">
        <v>177</v>
      </c>
      <c r="H7" s="70" t="s">
        <v>178</v>
      </c>
      <c r="I7" s="70" t="s">
        <v>179</v>
      </c>
      <c r="J7" s="70" t="s">
        <v>180</v>
      </c>
      <c r="K7" s="95">
        <v>1</v>
      </c>
      <c r="L7" s="3">
        <f>IFERROR(VLOOKUP(K7,'🏘️ Flat Register'!A:H,8,0),0)</f>
        <v>3510000</v>
      </c>
      <c r="M7" s="3">
        <f>IFERROR(SUMIF('💳 PAYMENTS Entery'!G:G,K7,'💳 PAYMENTS Entery'!H:H),0)</f>
        <v>0</v>
      </c>
      <c r="N7" s="3">
        <f t="shared" si="3"/>
        <v>3510000</v>
      </c>
      <c r="O7" s="4">
        <f t="shared" si="4"/>
        <v>0</v>
      </c>
      <c r="P7" s="2" t="str">
        <f t="shared" si="5"/>
        <v>Unpaid</v>
      </c>
      <c r="Q7" s="3">
        <f ca="1">IFERROR(MINIFS('📅 Installments AUTO'!I:I,'📅 Installments AUTO'!C:C,K7,'📅 Installments AUTO'!N:N,"Pending"),0)</f>
        <v>0</v>
      </c>
      <c r="R7" s="25" t="str">
        <f ca="1">IFERROR(MINIFS('📅 Installments AUTO'!H:H,'📅 Installments AUTO'!C:C,K7,'📅 Installments AUTO'!N:N,"Pending"),"")</f>
        <v/>
      </c>
      <c r="S7" s="25">
        <v>46218</v>
      </c>
      <c r="T7" s="17"/>
    </row>
    <row r="8" spans="1:20">
      <c r="A8" s="88" t="s">
        <v>778</v>
      </c>
      <c r="B8" s="70" t="s">
        <v>730</v>
      </c>
      <c r="C8" s="88" t="s">
        <v>780</v>
      </c>
      <c r="D8" s="88" t="s">
        <v>775</v>
      </c>
      <c r="E8" s="70" t="s">
        <v>176</v>
      </c>
      <c r="F8" s="70" t="s">
        <v>177</v>
      </c>
      <c r="G8" s="70" t="s">
        <v>177</v>
      </c>
      <c r="H8" s="70" t="s">
        <v>178</v>
      </c>
      <c r="I8" s="70" t="s">
        <v>179</v>
      </c>
      <c r="J8" s="70" t="s">
        <v>180</v>
      </c>
      <c r="K8" s="95">
        <v>401</v>
      </c>
      <c r="L8" s="3">
        <f>IFERROR(VLOOKUP(K8,'🏘️ Flat Register'!A:H,8,0),0)</f>
        <v>3915000</v>
      </c>
      <c r="M8" s="3">
        <f>IFERROR(SUMIF('💳 PAYMENTS Entery'!G:G,K8,'💳 PAYMENTS Entery'!H:H),0)</f>
        <v>0</v>
      </c>
      <c r="N8" s="3">
        <f t="shared" ref="N8" si="6">L8-M8</f>
        <v>3915000</v>
      </c>
      <c r="O8" s="4">
        <f t="shared" ref="O8" si="7">IFERROR(M8/L8,0)</f>
        <v>0</v>
      </c>
      <c r="P8" s="2" t="str">
        <f t="shared" ref="P8" si="8">IF(N8=0,"Cleared",IF(M8=0,"Unpaid","Active"))</f>
        <v>Unpaid</v>
      </c>
      <c r="Q8" s="3">
        <f ca="1">IFERROR(MINIFS('📅 Installments AUTO'!I:I,'📅 Installments AUTO'!C:C,K8,'📅 Installments AUTO'!N:N,"Pending"),0)</f>
        <v>0</v>
      </c>
      <c r="R8" s="25" t="str">
        <f ca="1">IFERROR(MINIFS('📅 Installments AUTO'!H:H,'📅 Installments AUTO'!C:C,K8,'📅 Installments AUTO'!N:N,"Pending"),"")</f>
        <v/>
      </c>
      <c r="S8" s="25">
        <v>46249</v>
      </c>
      <c r="T8" s="17"/>
    </row>
    <row r="9" spans="1:20">
      <c r="E9" s="20"/>
      <c r="F9" s="20"/>
      <c r="G9" s="20"/>
    </row>
    <row r="10" spans="1:20">
      <c r="E10" s="20"/>
      <c r="F10" s="20"/>
      <c r="G10" s="20"/>
    </row>
    <row r="11" spans="1:20">
      <c r="E11" s="20"/>
      <c r="F11" s="20"/>
      <c r="G11" s="20"/>
    </row>
    <row r="12" spans="1:20">
      <c r="E12" s="20"/>
      <c r="F12" s="20"/>
      <c r="G12" s="20"/>
    </row>
    <row r="13" spans="1:20" ht="15.75" customHeight="1">
      <c r="E13" s="20"/>
      <c r="F13" s="20"/>
      <c r="G13" s="20"/>
    </row>
    <row r="14" spans="1:20" ht="15.75" customHeight="1">
      <c r="E14" s="20"/>
      <c r="F14" s="20"/>
      <c r="G14" s="20"/>
    </row>
    <row r="15" spans="1:20" ht="15.75" customHeight="1">
      <c r="E15" s="20"/>
      <c r="F15" s="20"/>
      <c r="G15" s="20"/>
    </row>
    <row r="16" spans="1:20" ht="15.75" customHeight="1">
      <c r="E16" s="20"/>
      <c r="F16" s="20"/>
      <c r="G16" s="20"/>
    </row>
    <row r="17" spans="5:7" ht="15.75" customHeight="1">
      <c r="E17" s="20"/>
      <c r="F17" s="20"/>
      <c r="G17" s="20"/>
    </row>
    <row r="18" spans="5:7" ht="15.75" customHeight="1">
      <c r="E18" s="20"/>
      <c r="F18" s="20"/>
      <c r="G18" s="20"/>
    </row>
    <row r="19" spans="5:7" ht="15.75" customHeight="1">
      <c r="E19" s="20"/>
      <c r="F19" s="20"/>
      <c r="G19" s="20"/>
    </row>
    <row r="20" spans="5:7" ht="15.75" customHeight="1">
      <c r="E20" s="20"/>
      <c r="F20" s="20"/>
      <c r="G20" s="20"/>
    </row>
    <row r="21" spans="5:7" ht="15.75" customHeight="1">
      <c r="E21" s="20"/>
      <c r="F21" s="20"/>
      <c r="G21" s="20"/>
    </row>
    <row r="22" spans="5:7" ht="15.75" customHeight="1">
      <c r="E22" s="20"/>
      <c r="F22" s="20"/>
      <c r="G22" s="20"/>
    </row>
    <row r="23" spans="5:7" ht="15.75" customHeight="1">
      <c r="E23" s="20"/>
      <c r="F23" s="20"/>
      <c r="G23" s="20"/>
    </row>
    <row r="24" spans="5:7" ht="15.75" customHeight="1">
      <c r="E24" s="20"/>
      <c r="F24" s="20"/>
      <c r="G24" s="20"/>
    </row>
    <row r="25" spans="5:7" ht="15.75" customHeight="1">
      <c r="E25" s="20"/>
      <c r="F25" s="20"/>
      <c r="G25" s="20"/>
    </row>
    <row r="26" spans="5:7" ht="15.75" customHeight="1">
      <c r="E26" s="20"/>
      <c r="F26" s="20"/>
      <c r="G26" s="20"/>
    </row>
    <row r="27" spans="5:7" ht="15.75" customHeight="1">
      <c r="E27" s="20"/>
      <c r="F27" s="20"/>
      <c r="G27" s="20"/>
    </row>
    <row r="28" spans="5:7" ht="15.75" customHeight="1">
      <c r="E28" s="20"/>
      <c r="F28" s="20"/>
      <c r="G28" s="20"/>
    </row>
    <row r="29" spans="5:7" ht="15.75" customHeight="1">
      <c r="E29" s="20"/>
      <c r="F29" s="20"/>
      <c r="G29" s="20"/>
    </row>
    <row r="30" spans="5:7" ht="15.75" customHeight="1">
      <c r="E30" s="20"/>
      <c r="F30" s="20"/>
      <c r="G30" s="20"/>
    </row>
    <row r="31" spans="5:7" ht="15.75" customHeight="1">
      <c r="E31" s="20"/>
      <c r="F31" s="20"/>
      <c r="G31" s="20"/>
    </row>
    <row r="32" spans="5:7" ht="15.75" customHeight="1">
      <c r="E32" s="20"/>
      <c r="F32" s="20"/>
      <c r="G32" s="20"/>
    </row>
    <row r="33" spans="5:7" ht="15.75" customHeight="1">
      <c r="E33" s="20"/>
      <c r="F33" s="20"/>
      <c r="G33" s="20"/>
    </row>
    <row r="34" spans="5:7" ht="15.75" customHeight="1">
      <c r="E34" s="20"/>
      <c r="F34" s="20"/>
      <c r="G34" s="20"/>
    </row>
    <row r="35" spans="5:7" ht="15.75" customHeight="1">
      <c r="E35" s="20"/>
      <c r="F35" s="20"/>
      <c r="G35" s="20"/>
    </row>
    <row r="36" spans="5:7" ht="15.75" customHeight="1">
      <c r="E36" s="20"/>
      <c r="F36" s="20"/>
      <c r="G36" s="20"/>
    </row>
    <row r="37" spans="5:7" ht="15.75" customHeight="1">
      <c r="E37" s="20"/>
      <c r="F37" s="20"/>
      <c r="G37" s="20"/>
    </row>
    <row r="38" spans="5:7" ht="15.75" customHeight="1">
      <c r="E38" s="20"/>
      <c r="F38" s="20"/>
      <c r="G38" s="20"/>
    </row>
    <row r="39" spans="5:7" ht="15.75" customHeight="1">
      <c r="E39" s="20"/>
      <c r="F39" s="20"/>
      <c r="G39" s="20"/>
    </row>
    <row r="40" spans="5:7" ht="15.75" customHeight="1">
      <c r="E40" s="20"/>
      <c r="F40" s="20"/>
      <c r="G40" s="20"/>
    </row>
    <row r="41" spans="5:7" ht="15.75" customHeight="1">
      <c r="E41" s="20"/>
      <c r="F41" s="20"/>
      <c r="G41" s="20"/>
    </row>
    <row r="42" spans="5:7" ht="15.75" customHeight="1">
      <c r="E42" s="20"/>
      <c r="F42" s="20"/>
      <c r="G42" s="20"/>
    </row>
    <row r="43" spans="5:7" ht="15.75" customHeight="1">
      <c r="E43" s="20"/>
      <c r="F43" s="20"/>
      <c r="G43" s="20"/>
    </row>
    <row r="44" spans="5:7" ht="15.75" customHeight="1">
      <c r="E44" s="20"/>
      <c r="F44" s="20"/>
      <c r="G44" s="20"/>
    </row>
    <row r="45" spans="5:7" ht="15.75" customHeight="1">
      <c r="E45" s="20"/>
      <c r="F45" s="20"/>
      <c r="G45" s="20"/>
    </row>
    <row r="46" spans="5:7" ht="15.75" customHeight="1">
      <c r="E46" s="20"/>
      <c r="F46" s="20"/>
      <c r="G46" s="20"/>
    </row>
    <row r="47" spans="5:7" ht="15.75" customHeight="1">
      <c r="E47" s="20"/>
      <c r="F47" s="20"/>
      <c r="G47" s="20"/>
    </row>
    <row r="48" spans="5:7" ht="15.75" customHeight="1">
      <c r="E48" s="20"/>
      <c r="F48" s="20"/>
      <c r="G48" s="20"/>
    </row>
    <row r="49" spans="5:7" ht="15.75" customHeight="1">
      <c r="E49" s="20"/>
      <c r="F49" s="20"/>
      <c r="G49" s="20"/>
    </row>
    <row r="50" spans="5:7" ht="15.75" customHeight="1">
      <c r="E50" s="20"/>
      <c r="F50" s="20"/>
      <c r="G50" s="20"/>
    </row>
    <row r="51" spans="5:7" ht="15.75" customHeight="1">
      <c r="E51" s="20"/>
      <c r="F51" s="20"/>
      <c r="G51" s="20"/>
    </row>
    <row r="52" spans="5:7" ht="15.75" customHeight="1">
      <c r="E52" s="20"/>
      <c r="F52" s="20"/>
      <c r="G52" s="20"/>
    </row>
    <row r="53" spans="5:7" ht="15.75" customHeight="1">
      <c r="E53" s="20"/>
      <c r="F53" s="20"/>
      <c r="G53" s="20"/>
    </row>
    <row r="54" spans="5:7" ht="15.75" customHeight="1">
      <c r="E54" s="20"/>
      <c r="F54" s="20"/>
      <c r="G54" s="20"/>
    </row>
    <row r="55" spans="5:7" ht="15.75" customHeight="1">
      <c r="E55" s="20"/>
      <c r="F55" s="20"/>
      <c r="G55" s="20"/>
    </row>
    <row r="56" spans="5:7" ht="15.75" customHeight="1">
      <c r="E56" s="20"/>
      <c r="F56" s="20"/>
      <c r="G56" s="20"/>
    </row>
    <row r="57" spans="5:7" ht="15.75" customHeight="1">
      <c r="E57" s="20"/>
      <c r="F57" s="20"/>
      <c r="G57" s="20"/>
    </row>
    <row r="58" spans="5:7" ht="15.75" customHeight="1">
      <c r="E58" s="20"/>
      <c r="F58" s="20"/>
      <c r="G58" s="20"/>
    </row>
    <row r="59" spans="5:7" ht="15.75" customHeight="1">
      <c r="E59" s="20"/>
      <c r="F59" s="20"/>
      <c r="G59" s="20"/>
    </row>
    <row r="60" spans="5:7" ht="15.75" customHeight="1">
      <c r="E60" s="20"/>
      <c r="F60" s="20"/>
      <c r="G60" s="20"/>
    </row>
    <row r="61" spans="5:7" ht="15.75" customHeight="1">
      <c r="E61" s="20"/>
      <c r="F61" s="20"/>
      <c r="G61" s="20"/>
    </row>
    <row r="62" spans="5:7" ht="15.75" customHeight="1">
      <c r="E62" s="20"/>
      <c r="F62" s="20"/>
      <c r="G62" s="20"/>
    </row>
    <row r="63" spans="5:7" ht="15.75" customHeight="1">
      <c r="E63" s="20"/>
      <c r="F63" s="20"/>
      <c r="G63" s="20"/>
    </row>
    <row r="64" spans="5:7" ht="15.75" customHeight="1">
      <c r="E64" s="20"/>
      <c r="F64" s="20"/>
      <c r="G64" s="20"/>
    </row>
    <row r="65" spans="5:7" ht="15.75" customHeight="1">
      <c r="E65" s="20"/>
      <c r="F65" s="20"/>
      <c r="G65" s="20"/>
    </row>
    <row r="66" spans="5:7" ht="15.75" customHeight="1">
      <c r="E66" s="20"/>
      <c r="F66" s="20"/>
      <c r="G66" s="20"/>
    </row>
    <row r="67" spans="5:7" ht="15.75" customHeight="1">
      <c r="E67" s="20"/>
      <c r="F67" s="20"/>
      <c r="G67" s="20"/>
    </row>
    <row r="68" spans="5:7" ht="15.75" customHeight="1">
      <c r="E68" s="20"/>
      <c r="F68" s="20"/>
      <c r="G68" s="20"/>
    </row>
    <row r="69" spans="5:7" ht="15.75" customHeight="1">
      <c r="E69" s="20"/>
      <c r="F69" s="20"/>
      <c r="G69" s="20"/>
    </row>
    <row r="70" spans="5:7" ht="15.75" customHeight="1">
      <c r="E70" s="20"/>
      <c r="F70" s="20"/>
      <c r="G70" s="20"/>
    </row>
    <row r="71" spans="5:7" ht="15.75" customHeight="1">
      <c r="E71" s="20"/>
      <c r="F71" s="20"/>
      <c r="G71" s="20"/>
    </row>
    <row r="72" spans="5:7" ht="15.75" customHeight="1">
      <c r="E72" s="20"/>
      <c r="F72" s="20"/>
      <c r="G72" s="20"/>
    </row>
    <row r="73" spans="5:7" ht="15.75" customHeight="1">
      <c r="E73" s="20"/>
      <c r="F73" s="20"/>
      <c r="G73" s="20"/>
    </row>
    <row r="74" spans="5:7" ht="15.75" customHeight="1">
      <c r="E74" s="20"/>
      <c r="F74" s="20"/>
      <c r="G74" s="20"/>
    </row>
    <row r="75" spans="5:7" ht="15.75" customHeight="1">
      <c r="E75" s="20"/>
      <c r="F75" s="20"/>
      <c r="G75" s="20"/>
    </row>
    <row r="76" spans="5:7" ht="15.75" customHeight="1">
      <c r="E76" s="20"/>
      <c r="F76" s="20"/>
      <c r="G76" s="20"/>
    </row>
    <row r="77" spans="5:7" ht="15.75" customHeight="1">
      <c r="E77" s="20"/>
      <c r="F77" s="20"/>
      <c r="G77" s="20"/>
    </row>
    <row r="78" spans="5:7" ht="15.75" customHeight="1">
      <c r="E78" s="20"/>
      <c r="F78" s="20"/>
      <c r="G78" s="20"/>
    </row>
    <row r="79" spans="5:7" ht="15.75" customHeight="1">
      <c r="E79" s="20"/>
      <c r="F79" s="20"/>
      <c r="G79" s="20"/>
    </row>
    <row r="80" spans="5:7" ht="15.75" customHeight="1">
      <c r="E80" s="20"/>
      <c r="F80" s="20"/>
      <c r="G80" s="20"/>
    </row>
    <row r="81" spans="5:7" ht="15.75" customHeight="1">
      <c r="E81" s="20"/>
      <c r="F81" s="20"/>
      <c r="G81" s="20"/>
    </row>
    <row r="82" spans="5:7" ht="15.75" customHeight="1">
      <c r="E82" s="20"/>
      <c r="F82" s="20"/>
      <c r="G82" s="20"/>
    </row>
    <row r="83" spans="5:7" ht="15.75" customHeight="1">
      <c r="E83" s="20"/>
      <c r="F83" s="20"/>
      <c r="G83" s="20"/>
    </row>
    <row r="84" spans="5:7" ht="15.75" customHeight="1">
      <c r="E84" s="20"/>
      <c r="F84" s="20"/>
      <c r="G84" s="20"/>
    </row>
    <row r="85" spans="5:7" ht="15.75" customHeight="1">
      <c r="E85" s="20"/>
      <c r="F85" s="20"/>
      <c r="G85" s="20"/>
    </row>
    <row r="86" spans="5:7" ht="15.75" customHeight="1">
      <c r="E86" s="20"/>
      <c r="F86" s="20"/>
      <c r="G86" s="20"/>
    </row>
    <row r="87" spans="5:7" ht="15.75" customHeight="1">
      <c r="E87" s="20"/>
      <c r="F87" s="20"/>
      <c r="G87" s="20"/>
    </row>
    <row r="88" spans="5:7" ht="15.75" customHeight="1">
      <c r="E88" s="20"/>
      <c r="F88" s="20"/>
      <c r="G88" s="20"/>
    </row>
    <row r="89" spans="5:7" ht="15.75" customHeight="1">
      <c r="E89" s="20"/>
      <c r="F89" s="20"/>
      <c r="G89" s="20"/>
    </row>
    <row r="90" spans="5:7" ht="15.75" customHeight="1">
      <c r="E90" s="20"/>
      <c r="F90" s="20"/>
      <c r="G90" s="20"/>
    </row>
    <row r="91" spans="5:7" ht="15.75" customHeight="1">
      <c r="E91" s="20"/>
      <c r="F91" s="20"/>
      <c r="G91" s="20"/>
    </row>
    <row r="92" spans="5:7" ht="15.75" customHeight="1">
      <c r="E92" s="20"/>
      <c r="F92" s="20"/>
      <c r="G92" s="20"/>
    </row>
    <row r="93" spans="5:7" ht="15.75" customHeight="1">
      <c r="E93" s="20"/>
      <c r="F93" s="20"/>
      <c r="G93" s="20"/>
    </row>
    <row r="94" spans="5:7" ht="15.75" customHeight="1">
      <c r="E94" s="20"/>
      <c r="F94" s="20"/>
      <c r="G94" s="20"/>
    </row>
    <row r="95" spans="5:7" ht="15.75" customHeight="1">
      <c r="E95" s="20"/>
      <c r="F95" s="20"/>
      <c r="G95" s="20"/>
    </row>
    <row r="96" spans="5:7" ht="15.75" customHeight="1">
      <c r="E96" s="20"/>
      <c r="F96" s="20"/>
      <c r="G96" s="20"/>
    </row>
    <row r="97" spans="5:7" ht="15.75" customHeight="1">
      <c r="E97" s="20"/>
      <c r="F97" s="20"/>
      <c r="G97" s="20"/>
    </row>
    <row r="98" spans="5:7" ht="15.75" customHeight="1">
      <c r="E98" s="20"/>
      <c r="F98" s="20"/>
      <c r="G98" s="20"/>
    </row>
    <row r="99" spans="5:7" ht="15.75" customHeight="1">
      <c r="E99" s="20"/>
      <c r="F99" s="20"/>
      <c r="G99" s="20"/>
    </row>
    <row r="100" spans="5:7" ht="15.75" customHeight="1">
      <c r="E100" s="20"/>
      <c r="F100" s="20"/>
      <c r="G100" s="20"/>
    </row>
    <row r="101" spans="5:7" ht="15.75" customHeight="1">
      <c r="E101" s="20"/>
      <c r="F101" s="20"/>
      <c r="G101" s="20"/>
    </row>
    <row r="102" spans="5:7" ht="15.75" customHeight="1">
      <c r="E102" s="20"/>
      <c r="F102" s="20"/>
      <c r="G102" s="20"/>
    </row>
    <row r="103" spans="5:7" ht="15.75" customHeight="1">
      <c r="E103" s="20"/>
      <c r="F103" s="20"/>
      <c r="G103" s="20"/>
    </row>
    <row r="104" spans="5:7" ht="15.75" customHeight="1">
      <c r="E104" s="20"/>
      <c r="F104" s="20"/>
      <c r="G104" s="20"/>
    </row>
    <row r="105" spans="5:7" ht="15.75" customHeight="1">
      <c r="E105" s="20"/>
      <c r="F105" s="20"/>
      <c r="G105" s="20"/>
    </row>
    <row r="106" spans="5:7" ht="15.75" customHeight="1">
      <c r="E106" s="20"/>
      <c r="F106" s="20"/>
      <c r="G106" s="20"/>
    </row>
    <row r="107" spans="5:7" ht="15.75" customHeight="1">
      <c r="E107" s="20"/>
      <c r="F107" s="20"/>
      <c r="G107" s="20"/>
    </row>
    <row r="108" spans="5:7" ht="15.75" customHeight="1">
      <c r="E108" s="20"/>
      <c r="F108" s="20"/>
      <c r="G108" s="20"/>
    </row>
    <row r="109" spans="5:7" ht="15.75" customHeight="1">
      <c r="E109" s="20"/>
      <c r="F109" s="20"/>
      <c r="G109" s="20"/>
    </row>
    <row r="110" spans="5:7" ht="15.75" customHeight="1">
      <c r="E110" s="20"/>
      <c r="F110" s="20"/>
      <c r="G110" s="20"/>
    </row>
    <row r="111" spans="5:7" ht="15.75" customHeight="1">
      <c r="E111" s="20"/>
      <c r="F111" s="20"/>
      <c r="G111" s="20"/>
    </row>
    <row r="112" spans="5:7" ht="15.75" customHeight="1">
      <c r="E112" s="20"/>
      <c r="F112" s="20"/>
      <c r="G112" s="20"/>
    </row>
    <row r="113" spans="5:7" ht="15.75" customHeight="1">
      <c r="E113" s="20"/>
      <c r="F113" s="20"/>
      <c r="G113" s="20"/>
    </row>
    <row r="114" spans="5:7" ht="15.75" customHeight="1">
      <c r="E114" s="20"/>
      <c r="F114" s="20"/>
      <c r="G114" s="20"/>
    </row>
    <row r="115" spans="5:7" ht="15.75" customHeight="1">
      <c r="E115" s="20"/>
      <c r="F115" s="20"/>
      <c r="G115" s="20"/>
    </row>
    <row r="116" spans="5:7" ht="15.75" customHeight="1">
      <c r="E116" s="20"/>
      <c r="F116" s="20"/>
      <c r="G116" s="20"/>
    </row>
    <row r="117" spans="5:7" ht="15.75" customHeight="1">
      <c r="E117" s="20"/>
      <c r="F117" s="20"/>
      <c r="G117" s="20"/>
    </row>
    <row r="118" spans="5:7" ht="15.75" customHeight="1">
      <c r="E118" s="20"/>
      <c r="F118" s="20"/>
      <c r="G118" s="20"/>
    </row>
    <row r="119" spans="5:7" ht="15.75" customHeight="1">
      <c r="E119" s="20"/>
      <c r="F119" s="20"/>
      <c r="G119" s="20"/>
    </row>
    <row r="120" spans="5:7" ht="15.75" customHeight="1">
      <c r="E120" s="20"/>
      <c r="F120" s="20"/>
      <c r="G120" s="20"/>
    </row>
    <row r="121" spans="5:7" ht="15.75" customHeight="1">
      <c r="E121" s="20"/>
      <c r="F121" s="20"/>
      <c r="G121" s="20"/>
    </row>
    <row r="122" spans="5:7" ht="15.75" customHeight="1">
      <c r="E122" s="20"/>
      <c r="F122" s="20"/>
      <c r="G122" s="20"/>
    </row>
    <row r="123" spans="5:7" ht="15.75" customHeight="1">
      <c r="E123" s="20"/>
      <c r="F123" s="20"/>
      <c r="G123" s="20"/>
    </row>
    <row r="124" spans="5:7" ht="15.75" customHeight="1">
      <c r="E124" s="20"/>
      <c r="F124" s="20"/>
      <c r="G124" s="20"/>
    </row>
    <row r="125" spans="5:7" ht="15.75" customHeight="1">
      <c r="E125" s="20"/>
      <c r="F125" s="20"/>
      <c r="G125" s="20"/>
    </row>
    <row r="126" spans="5:7" ht="15.75" customHeight="1">
      <c r="E126" s="20"/>
      <c r="F126" s="20"/>
      <c r="G126" s="20"/>
    </row>
    <row r="127" spans="5:7" ht="15.75" customHeight="1">
      <c r="E127" s="20"/>
      <c r="F127" s="20"/>
      <c r="G127" s="20"/>
    </row>
    <row r="128" spans="5:7" ht="15.75" customHeight="1">
      <c r="E128" s="20"/>
      <c r="F128" s="20"/>
      <c r="G128" s="20"/>
    </row>
    <row r="129" spans="5:7" ht="15.75" customHeight="1">
      <c r="E129" s="20"/>
      <c r="F129" s="20"/>
      <c r="G129" s="20"/>
    </row>
    <row r="130" spans="5:7" ht="15.75" customHeight="1">
      <c r="E130" s="20"/>
      <c r="F130" s="20"/>
      <c r="G130" s="20"/>
    </row>
    <row r="131" spans="5:7" ht="15.75" customHeight="1">
      <c r="E131" s="20"/>
      <c r="F131" s="20"/>
      <c r="G131" s="20"/>
    </row>
    <row r="132" spans="5:7" ht="15.75" customHeight="1">
      <c r="E132" s="20"/>
      <c r="F132" s="20"/>
      <c r="G132" s="20"/>
    </row>
    <row r="133" spans="5:7" ht="15.75" customHeight="1">
      <c r="E133" s="20"/>
      <c r="F133" s="20"/>
      <c r="G133" s="20"/>
    </row>
    <row r="134" spans="5:7" ht="15.75" customHeight="1">
      <c r="E134" s="20"/>
      <c r="F134" s="20"/>
      <c r="G134" s="20"/>
    </row>
    <row r="135" spans="5:7" ht="15.75" customHeight="1">
      <c r="E135" s="20"/>
      <c r="F135" s="20"/>
      <c r="G135" s="20"/>
    </row>
    <row r="136" spans="5:7" ht="15.75" customHeight="1">
      <c r="E136" s="20"/>
      <c r="F136" s="20"/>
      <c r="G136" s="20"/>
    </row>
    <row r="137" spans="5:7" ht="15.75" customHeight="1">
      <c r="E137" s="20"/>
      <c r="F137" s="20"/>
      <c r="G137" s="20"/>
    </row>
    <row r="138" spans="5:7" ht="15.75" customHeight="1">
      <c r="E138" s="20"/>
      <c r="F138" s="20"/>
      <c r="G138" s="20"/>
    </row>
    <row r="139" spans="5:7" ht="15.75" customHeight="1">
      <c r="E139" s="20"/>
      <c r="F139" s="20"/>
      <c r="G139" s="20"/>
    </row>
    <row r="140" spans="5:7" ht="15.75" customHeight="1">
      <c r="E140" s="20"/>
      <c r="F140" s="20"/>
      <c r="G140" s="20"/>
    </row>
    <row r="141" spans="5:7" ht="15.75" customHeight="1">
      <c r="E141" s="20"/>
      <c r="F141" s="20"/>
      <c r="G141" s="20"/>
    </row>
    <row r="142" spans="5:7" ht="15.75" customHeight="1">
      <c r="E142" s="20"/>
      <c r="F142" s="20"/>
      <c r="G142" s="20"/>
    </row>
    <row r="143" spans="5:7" ht="15.75" customHeight="1">
      <c r="E143" s="20"/>
      <c r="F143" s="20"/>
      <c r="G143" s="20"/>
    </row>
    <row r="144" spans="5:7" ht="15.75" customHeight="1">
      <c r="E144" s="20"/>
      <c r="F144" s="20"/>
      <c r="G144" s="20"/>
    </row>
    <row r="145" spans="5:7" ht="15.75" customHeight="1">
      <c r="E145" s="20"/>
      <c r="F145" s="20"/>
      <c r="G145" s="20"/>
    </row>
    <row r="146" spans="5:7" ht="15.75" customHeight="1">
      <c r="E146" s="20"/>
      <c r="F146" s="20"/>
      <c r="G146" s="20"/>
    </row>
    <row r="147" spans="5:7" ht="15.75" customHeight="1">
      <c r="E147" s="20"/>
      <c r="F147" s="20"/>
      <c r="G147" s="20"/>
    </row>
    <row r="148" spans="5:7" ht="15.75" customHeight="1">
      <c r="E148" s="20"/>
      <c r="F148" s="20"/>
      <c r="G148" s="20"/>
    </row>
    <row r="149" spans="5:7" ht="15.75" customHeight="1">
      <c r="E149" s="20"/>
      <c r="F149" s="20"/>
      <c r="G149" s="20"/>
    </row>
    <row r="150" spans="5:7" ht="15.75" customHeight="1">
      <c r="E150" s="20"/>
      <c r="F150" s="20"/>
      <c r="G150" s="20"/>
    </row>
    <row r="151" spans="5:7" ht="15.75" customHeight="1">
      <c r="E151" s="20"/>
      <c r="F151" s="20"/>
      <c r="G151" s="20"/>
    </row>
    <row r="152" spans="5:7" ht="15.75" customHeight="1">
      <c r="E152" s="20"/>
      <c r="F152" s="20"/>
      <c r="G152" s="20"/>
    </row>
    <row r="153" spans="5:7" ht="15.75" customHeight="1">
      <c r="E153" s="20"/>
      <c r="F153" s="20"/>
      <c r="G153" s="20"/>
    </row>
    <row r="154" spans="5:7" ht="15.75" customHeight="1">
      <c r="E154" s="20"/>
      <c r="F154" s="20"/>
      <c r="G154" s="20"/>
    </row>
    <row r="155" spans="5:7" ht="15.75" customHeight="1">
      <c r="E155" s="20"/>
      <c r="F155" s="20"/>
      <c r="G155" s="20"/>
    </row>
    <row r="156" spans="5:7" ht="15.75" customHeight="1">
      <c r="E156" s="20"/>
      <c r="F156" s="20"/>
      <c r="G156" s="20"/>
    </row>
    <row r="157" spans="5:7" ht="15.75" customHeight="1">
      <c r="E157" s="20"/>
      <c r="F157" s="20"/>
      <c r="G157" s="20"/>
    </row>
    <row r="158" spans="5:7" ht="15.75" customHeight="1">
      <c r="E158" s="20"/>
      <c r="F158" s="20"/>
      <c r="G158" s="20"/>
    </row>
    <row r="159" spans="5:7" ht="15.75" customHeight="1">
      <c r="E159" s="20"/>
      <c r="F159" s="20"/>
      <c r="G159" s="20"/>
    </row>
    <row r="160" spans="5:7" ht="15.75" customHeight="1">
      <c r="E160" s="20"/>
      <c r="F160" s="20"/>
      <c r="G160" s="20"/>
    </row>
    <row r="161" spans="5:7" ht="15.75" customHeight="1">
      <c r="E161" s="20"/>
      <c r="F161" s="20"/>
      <c r="G161" s="20"/>
    </row>
    <row r="162" spans="5:7" ht="15.75" customHeight="1">
      <c r="E162" s="20"/>
      <c r="F162" s="20"/>
      <c r="G162" s="20"/>
    </row>
    <row r="163" spans="5:7" ht="15.75" customHeight="1">
      <c r="E163" s="20"/>
      <c r="F163" s="20"/>
      <c r="G163" s="20"/>
    </row>
    <row r="164" spans="5:7" ht="15.75" customHeight="1">
      <c r="E164" s="20"/>
      <c r="F164" s="20"/>
      <c r="G164" s="20"/>
    </row>
    <row r="165" spans="5:7" ht="15.75" customHeight="1">
      <c r="E165" s="20"/>
      <c r="F165" s="20"/>
      <c r="G165" s="20"/>
    </row>
    <row r="166" spans="5:7" ht="15.75" customHeight="1">
      <c r="E166" s="20"/>
      <c r="F166" s="20"/>
      <c r="G166" s="20"/>
    </row>
    <row r="167" spans="5:7" ht="15.75" customHeight="1">
      <c r="E167" s="20"/>
      <c r="F167" s="20"/>
      <c r="G167" s="20"/>
    </row>
    <row r="168" spans="5:7" ht="15.75" customHeight="1">
      <c r="E168" s="20"/>
      <c r="F168" s="20"/>
      <c r="G168" s="20"/>
    </row>
    <row r="169" spans="5:7" ht="15.75" customHeight="1">
      <c r="E169" s="20"/>
      <c r="F169" s="20"/>
      <c r="G169" s="20"/>
    </row>
    <row r="170" spans="5:7" ht="15.75" customHeight="1">
      <c r="E170" s="20"/>
      <c r="F170" s="20"/>
      <c r="G170" s="20"/>
    </row>
    <row r="171" spans="5:7" ht="15.75" customHeight="1">
      <c r="E171" s="20"/>
      <c r="F171" s="20"/>
      <c r="G171" s="20"/>
    </row>
    <row r="172" spans="5:7" ht="15.75" customHeight="1">
      <c r="E172" s="20"/>
      <c r="F172" s="20"/>
      <c r="G172" s="20"/>
    </row>
    <row r="173" spans="5:7" ht="15.75" customHeight="1">
      <c r="E173" s="20"/>
      <c r="F173" s="20"/>
      <c r="G173" s="20"/>
    </row>
    <row r="174" spans="5:7" ht="15.75" customHeight="1">
      <c r="E174" s="20"/>
      <c r="F174" s="20"/>
      <c r="G174" s="20"/>
    </row>
    <row r="175" spans="5:7" ht="15.75" customHeight="1">
      <c r="E175" s="20"/>
      <c r="F175" s="20"/>
      <c r="G175" s="20"/>
    </row>
    <row r="176" spans="5:7" ht="15.75" customHeight="1">
      <c r="E176" s="20"/>
      <c r="F176" s="20"/>
      <c r="G176" s="20"/>
    </row>
    <row r="177" spans="5:7" ht="15.75" customHeight="1">
      <c r="E177" s="20"/>
      <c r="F177" s="20"/>
      <c r="G177" s="20"/>
    </row>
    <row r="178" spans="5:7" ht="15.75" customHeight="1">
      <c r="E178" s="20"/>
      <c r="F178" s="20"/>
      <c r="G178" s="20"/>
    </row>
    <row r="179" spans="5:7" ht="15.75" customHeight="1">
      <c r="E179" s="20"/>
      <c r="F179" s="20"/>
      <c r="G179" s="20"/>
    </row>
    <row r="180" spans="5:7" ht="15.75" customHeight="1">
      <c r="E180" s="20"/>
      <c r="F180" s="20"/>
      <c r="G180" s="20"/>
    </row>
    <row r="181" spans="5:7" ht="15.75" customHeight="1">
      <c r="E181" s="20"/>
      <c r="F181" s="20"/>
      <c r="G181" s="20"/>
    </row>
    <row r="182" spans="5:7" ht="15.75" customHeight="1">
      <c r="E182" s="20"/>
      <c r="F182" s="20"/>
      <c r="G182" s="20"/>
    </row>
    <row r="183" spans="5:7" ht="15.75" customHeight="1">
      <c r="E183" s="20"/>
      <c r="F183" s="20"/>
      <c r="G183" s="20"/>
    </row>
    <row r="184" spans="5:7" ht="15.75" customHeight="1">
      <c r="E184" s="20"/>
      <c r="F184" s="20"/>
      <c r="G184" s="20"/>
    </row>
    <row r="185" spans="5:7" ht="15.75" customHeight="1">
      <c r="E185" s="20"/>
      <c r="F185" s="20"/>
      <c r="G185" s="20"/>
    </row>
    <row r="186" spans="5:7" ht="15.75" customHeight="1">
      <c r="E186" s="20"/>
      <c r="F186" s="20"/>
      <c r="G186" s="20"/>
    </row>
    <row r="187" spans="5:7" ht="15.75" customHeight="1">
      <c r="E187" s="20"/>
      <c r="F187" s="20"/>
      <c r="G187" s="20"/>
    </row>
    <row r="188" spans="5:7" ht="15.75" customHeight="1">
      <c r="E188" s="20"/>
      <c r="F188" s="20"/>
      <c r="G188" s="20"/>
    </row>
    <row r="189" spans="5:7" ht="15.75" customHeight="1">
      <c r="E189" s="20"/>
      <c r="F189" s="20"/>
      <c r="G189" s="20"/>
    </row>
    <row r="190" spans="5:7" ht="15.75" customHeight="1">
      <c r="E190" s="20"/>
      <c r="F190" s="20"/>
      <c r="G190" s="20"/>
    </row>
    <row r="191" spans="5:7" ht="15.75" customHeight="1">
      <c r="E191" s="20"/>
      <c r="F191" s="20"/>
      <c r="G191" s="20"/>
    </row>
    <row r="192" spans="5:7" ht="15.75" customHeight="1">
      <c r="E192" s="20"/>
      <c r="F192" s="20"/>
      <c r="G192" s="20"/>
    </row>
    <row r="193" spans="5:7" ht="15.75" customHeight="1">
      <c r="E193" s="20"/>
      <c r="F193" s="20"/>
      <c r="G193" s="20"/>
    </row>
    <row r="194" spans="5:7" ht="15.75" customHeight="1">
      <c r="E194" s="20"/>
      <c r="F194" s="20"/>
      <c r="G194" s="20"/>
    </row>
    <row r="195" spans="5:7" ht="15.75" customHeight="1">
      <c r="E195" s="20"/>
      <c r="F195" s="20"/>
      <c r="G195" s="20"/>
    </row>
    <row r="196" spans="5:7" ht="15.75" customHeight="1">
      <c r="E196" s="20"/>
      <c r="F196" s="20"/>
      <c r="G196" s="20"/>
    </row>
    <row r="197" spans="5:7" ht="15.75" customHeight="1">
      <c r="E197" s="20"/>
      <c r="F197" s="20"/>
      <c r="G197" s="20"/>
    </row>
    <row r="198" spans="5:7" ht="15.75" customHeight="1">
      <c r="E198" s="20"/>
      <c r="F198" s="20"/>
      <c r="G198" s="20"/>
    </row>
    <row r="199" spans="5:7" ht="15.75" customHeight="1">
      <c r="E199" s="20"/>
      <c r="F199" s="20"/>
      <c r="G199" s="20"/>
    </row>
    <row r="200" spans="5:7" ht="15.75" customHeight="1">
      <c r="E200" s="20"/>
      <c r="F200" s="20"/>
      <c r="G200" s="20"/>
    </row>
    <row r="201" spans="5:7" ht="15.75" customHeight="1">
      <c r="E201" s="20"/>
      <c r="F201" s="20"/>
      <c r="G201" s="20"/>
    </row>
    <row r="202" spans="5:7" ht="15.75" customHeight="1">
      <c r="E202" s="20"/>
      <c r="F202" s="20"/>
      <c r="G202" s="20"/>
    </row>
    <row r="203" spans="5:7" ht="15.75" customHeight="1">
      <c r="E203" s="20"/>
      <c r="F203" s="20"/>
      <c r="G203" s="20"/>
    </row>
    <row r="204" spans="5:7" ht="15.75" customHeight="1">
      <c r="E204" s="20"/>
      <c r="F204" s="20"/>
      <c r="G204" s="20"/>
    </row>
    <row r="205" spans="5:7" ht="15.75" customHeight="1">
      <c r="E205" s="20"/>
      <c r="F205" s="20"/>
      <c r="G205" s="20"/>
    </row>
    <row r="206" spans="5:7" ht="15.75" customHeight="1">
      <c r="E206" s="20"/>
      <c r="F206" s="20"/>
      <c r="G206" s="20"/>
    </row>
    <row r="207" spans="5:7" ht="15.75" customHeight="1">
      <c r="E207" s="20"/>
      <c r="F207" s="20"/>
      <c r="G207" s="20"/>
    </row>
    <row r="208" spans="5:7" ht="15.75" customHeight="1">
      <c r="E208" s="20"/>
      <c r="F208" s="20"/>
      <c r="G208" s="20"/>
    </row>
    <row r="209" spans="5:7" ht="15.75" customHeight="1">
      <c r="E209" s="20"/>
      <c r="F209" s="20"/>
      <c r="G209" s="20"/>
    </row>
    <row r="210" spans="5:7" ht="15.75" customHeight="1">
      <c r="E210" s="20"/>
      <c r="F210" s="20"/>
      <c r="G210" s="20"/>
    </row>
    <row r="211" spans="5:7" ht="15.75" customHeight="1">
      <c r="E211" s="20"/>
      <c r="F211" s="20"/>
      <c r="G211" s="20"/>
    </row>
    <row r="212" spans="5:7" ht="15.75" customHeight="1">
      <c r="E212" s="20"/>
      <c r="F212" s="20"/>
      <c r="G212" s="20"/>
    </row>
    <row r="213" spans="5:7" ht="15.75" customHeight="1">
      <c r="E213" s="20"/>
      <c r="F213" s="20"/>
      <c r="G213" s="20"/>
    </row>
    <row r="214" spans="5:7" ht="15.75" customHeight="1">
      <c r="E214" s="20"/>
      <c r="F214" s="20"/>
      <c r="G214" s="20"/>
    </row>
    <row r="215" spans="5:7" ht="15.75" customHeight="1">
      <c r="E215" s="20"/>
      <c r="F215" s="20"/>
      <c r="G215" s="20"/>
    </row>
    <row r="216" spans="5:7" ht="15.75" customHeight="1">
      <c r="E216" s="20"/>
      <c r="F216" s="20"/>
      <c r="G216" s="20"/>
    </row>
    <row r="217" spans="5:7" ht="15.75" customHeight="1">
      <c r="E217" s="20"/>
      <c r="F217" s="20"/>
      <c r="G217" s="20"/>
    </row>
    <row r="218" spans="5:7" ht="15.75" customHeight="1">
      <c r="E218" s="20"/>
      <c r="F218" s="20"/>
      <c r="G218" s="20"/>
    </row>
    <row r="219" spans="5:7" ht="15.75" customHeight="1">
      <c r="E219" s="20"/>
      <c r="F219" s="20"/>
      <c r="G219" s="20"/>
    </row>
    <row r="220" spans="5:7" ht="15.75" customHeight="1">
      <c r="E220" s="20"/>
      <c r="F220" s="20"/>
      <c r="G220" s="20"/>
    </row>
    <row r="221" spans="5:7" ht="15.75" customHeight="1">
      <c r="E221" s="20"/>
      <c r="F221" s="20"/>
      <c r="G221" s="20"/>
    </row>
    <row r="222" spans="5:7" ht="15.75" customHeight="1">
      <c r="E222" s="20"/>
      <c r="F222" s="20"/>
      <c r="G222" s="20"/>
    </row>
    <row r="223" spans="5:7" ht="15.75" customHeight="1">
      <c r="E223" s="20"/>
      <c r="F223" s="20"/>
      <c r="G223" s="20"/>
    </row>
    <row r="224" spans="5:7" ht="15.75" customHeight="1">
      <c r="E224" s="20"/>
      <c r="F224" s="20"/>
      <c r="G224" s="20"/>
    </row>
    <row r="225" spans="5:7" ht="15.75" customHeight="1">
      <c r="E225" s="20"/>
      <c r="F225" s="20"/>
      <c r="G225" s="20"/>
    </row>
    <row r="226" spans="5:7" ht="15.75" customHeight="1">
      <c r="E226" s="20"/>
      <c r="F226" s="20"/>
      <c r="G226" s="20"/>
    </row>
    <row r="227" spans="5:7" ht="15.75" customHeight="1">
      <c r="E227" s="20"/>
      <c r="F227" s="20"/>
      <c r="G227" s="20"/>
    </row>
    <row r="228" spans="5:7" ht="15.75" customHeight="1">
      <c r="E228" s="20"/>
      <c r="F228" s="20"/>
      <c r="G228" s="20"/>
    </row>
    <row r="229" spans="5:7" ht="15.75" customHeight="1">
      <c r="E229" s="20"/>
      <c r="F229" s="20"/>
      <c r="G229" s="20"/>
    </row>
    <row r="230" spans="5:7" ht="15.75" customHeight="1">
      <c r="E230" s="20"/>
      <c r="F230" s="20"/>
      <c r="G230" s="20"/>
    </row>
    <row r="231" spans="5:7" ht="15.75" customHeight="1">
      <c r="E231" s="20"/>
      <c r="F231" s="20"/>
      <c r="G231" s="20"/>
    </row>
    <row r="232" spans="5:7" ht="15.75" customHeight="1">
      <c r="E232" s="20"/>
      <c r="F232" s="20"/>
      <c r="G232" s="20"/>
    </row>
    <row r="233" spans="5:7" ht="15.75" customHeight="1">
      <c r="E233" s="20"/>
      <c r="F233" s="20"/>
      <c r="G233" s="20"/>
    </row>
    <row r="234" spans="5:7" ht="15.75" customHeight="1">
      <c r="E234" s="20"/>
      <c r="F234" s="20"/>
      <c r="G234" s="20"/>
    </row>
    <row r="235" spans="5:7" ht="15.75" customHeight="1">
      <c r="E235" s="20"/>
      <c r="F235" s="20"/>
      <c r="G235" s="20"/>
    </row>
    <row r="236" spans="5:7" ht="15.75" customHeight="1">
      <c r="E236" s="20"/>
      <c r="F236" s="20"/>
      <c r="G236" s="20"/>
    </row>
    <row r="237" spans="5:7" ht="15.75" customHeight="1">
      <c r="E237" s="20"/>
      <c r="F237" s="20"/>
      <c r="G237" s="20"/>
    </row>
    <row r="238" spans="5:7" ht="15.75" customHeight="1">
      <c r="E238" s="20"/>
      <c r="F238" s="20"/>
      <c r="G238" s="20"/>
    </row>
    <row r="239" spans="5:7" ht="15.75" customHeight="1">
      <c r="E239" s="20"/>
      <c r="F239" s="20"/>
      <c r="G239" s="20"/>
    </row>
    <row r="240" spans="5:7" ht="15.75" customHeight="1">
      <c r="E240" s="20"/>
      <c r="F240" s="20"/>
      <c r="G240" s="20"/>
    </row>
    <row r="241" spans="5:7" ht="15.75" customHeight="1">
      <c r="E241" s="20"/>
      <c r="F241" s="20"/>
      <c r="G241" s="20"/>
    </row>
    <row r="242" spans="5:7" ht="15.75" customHeight="1">
      <c r="E242" s="20"/>
      <c r="F242" s="20"/>
      <c r="G242" s="20"/>
    </row>
    <row r="243" spans="5:7" ht="15.75" customHeight="1">
      <c r="E243" s="20"/>
      <c r="F243" s="20"/>
      <c r="G243" s="20"/>
    </row>
    <row r="244" spans="5:7" ht="15.75" customHeight="1">
      <c r="E244" s="20"/>
      <c r="F244" s="20"/>
      <c r="G244" s="20"/>
    </row>
    <row r="245" spans="5:7" ht="15.75" customHeight="1">
      <c r="E245" s="20"/>
      <c r="F245" s="20"/>
      <c r="G245" s="20"/>
    </row>
    <row r="246" spans="5:7" ht="15.75" customHeight="1">
      <c r="E246" s="20"/>
      <c r="F246" s="20"/>
      <c r="G246" s="20"/>
    </row>
    <row r="247" spans="5:7" ht="15.75" customHeight="1">
      <c r="E247" s="20"/>
      <c r="F247" s="20"/>
      <c r="G247" s="20"/>
    </row>
    <row r="248" spans="5:7" ht="15.75" customHeight="1">
      <c r="E248" s="20"/>
      <c r="F248" s="20"/>
      <c r="G248" s="20"/>
    </row>
    <row r="249" spans="5:7" ht="15.75" customHeight="1">
      <c r="E249" s="20"/>
      <c r="F249" s="20"/>
      <c r="G249" s="20"/>
    </row>
    <row r="250" spans="5:7" ht="15.75" customHeight="1">
      <c r="E250" s="20"/>
      <c r="F250" s="20"/>
      <c r="G250" s="20"/>
    </row>
    <row r="251" spans="5:7" ht="15.75" customHeight="1">
      <c r="E251" s="20"/>
      <c r="F251" s="20"/>
      <c r="G251" s="20"/>
    </row>
    <row r="252" spans="5:7" ht="15.75" customHeight="1">
      <c r="E252" s="20"/>
      <c r="F252" s="20"/>
      <c r="G252" s="20"/>
    </row>
    <row r="253" spans="5:7" ht="15.75" customHeight="1">
      <c r="E253" s="20"/>
      <c r="F253" s="20"/>
      <c r="G253" s="20"/>
    </row>
    <row r="254" spans="5:7" ht="15.75" customHeight="1">
      <c r="E254" s="20"/>
      <c r="F254" s="20"/>
      <c r="G254" s="20"/>
    </row>
    <row r="255" spans="5:7" ht="15.75" customHeight="1">
      <c r="E255" s="20"/>
      <c r="F255" s="20"/>
      <c r="G255" s="20"/>
    </row>
    <row r="256" spans="5:7" ht="15.75" customHeight="1">
      <c r="E256" s="20"/>
      <c r="F256" s="20"/>
      <c r="G256" s="20"/>
    </row>
    <row r="257" spans="5:7" ht="15.75" customHeight="1">
      <c r="E257" s="20"/>
      <c r="F257" s="20"/>
      <c r="G257" s="20"/>
    </row>
    <row r="258" spans="5:7" ht="15.75" customHeight="1">
      <c r="E258" s="20"/>
      <c r="F258" s="20"/>
      <c r="G258" s="20"/>
    </row>
    <row r="259" spans="5:7" ht="15.75" customHeight="1">
      <c r="E259" s="20"/>
      <c r="F259" s="20"/>
      <c r="G259" s="20"/>
    </row>
    <row r="260" spans="5:7" ht="15.75" customHeight="1">
      <c r="E260" s="20"/>
      <c r="F260" s="20"/>
      <c r="G260" s="20"/>
    </row>
    <row r="261" spans="5:7" ht="15.75" customHeight="1">
      <c r="E261" s="20"/>
      <c r="F261" s="20"/>
      <c r="G261" s="20"/>
    </row>
    <row r="262" spans="5:7" ht="15.75" customHeight="1">
      <c r="E262" s="20"/>
      <c r="F262" s="20"/>
      <c r="G262" s="20"/>
    </row>
    <row r="263" spans="5:7" ht="15.75" customHeight="1">
      <c r="E263" s="20"/>
      <c r="F263" s="20"/>
      <c r="G263" s="20"/>
    </row>
    <row r="264" spans="5:7" ht="15.75" customHeight="1">
      <c r="E264" s="20"/>
      <c r="F264" s="20"/>
      <c r="G264" s="20"/>
    </row>
    <row r="265" spans="5:7" ht="15.75" customHeight="1">
      <c r="E265" s="20"/>
      <c r="F265" s="20"/>
      <c r="G265" s="20"/>
    </row>
    <row r="266" spans="5:7" ht="15.75" customHeight="1">
      <c r="E266" s="20"/>
      <c r="F266" s="20"/>
      <c r="G266" s="20"/>
    </row>
    <row r="267" spans="5:7" ht="15.75" customHeight="1">
      <c r="E267" s="20"/>
      <c r="F267" s="20"/>
      <c r="G267" s="20"/>
    </row>
    <row r="268" spans="5:7" ht="15.75" customHeight="1">
      <c r="E268" s="20"/>
      <c r="F268" s="20"/>
      <c r="G268" s="20"/>
    </row>
    <row r="269" spans="5:7" ht="15.75" customHeight="1">
      <c r="E269" s="20"/>
      <c r="F269" s="20"/>
      <c r="G269" s="20"/>
    </row>
    <row r="270" spans="5:7" ht="15.75" customHeight="1">
      <c r="E270" s="20"/>
      <c r="F270" s="20"/>
      <c r="G270" s="20"/>
    </row>
    <row r="271" spans="5:7" ht="15.75" customHeight="1">
      <c r="E271" s="20"/>
      <c r="F271" s="20"/>
      <c r="G271" s="20"/>
    </row>
    <row r="272" spans="5:7" ht="15.75" customHeight="1">
      <c r="E272" s="20"/>
      <c r="F272" s="20"/>
      <c r="G272" s="20"/>
    </row>
    <row r="273" spans="5:7" ht="15.75" customHeight="1">
      <c r="E273" s="20"/>
      <c r="F273" s="20"/>
      <c r="G273" s="20"/>
    </row>
    <row r="274" spans="5:7" ht="15.75" customHeight="1">
      <c r="E274" s="20"/>
      <c r="F274" s="20"/>
      <c r="G274" s="20"/>
    </row>
    <row r="275" spans="5:7" ht="15.75" customHeight="1">
      <c r="E275" s="20"/>
      <c r="F275" s="20"/>
      <c r="G275" s="20"/>
    </row>
    <row r="276" spans="5:7" ht="15.75" customHeight="1">
      <c r="E276" s="20"/>
      <c r="F276" s="20"/>
      <c r="G276" s="20"/>
    </row>
    <row r="277" spans="5:7" ht="15.75" customHeight="1">
      <c r="E277" s="20"/>
      <c r="F277" s="20"/>
      <c r="G277" s="20"/>
    </row>
    <row r="278" spans="5:7" ht="15.75" customHeight="1">
      <c r="E278" s="20"/>
      <c r="F278" s="20"/>
      <c r="G278" s="20"/>
    </row>
    <row r="279" spans="5:7" ht="15.75" customHeight="1">
      <c r="E279" s="20"/>
      <c r="F279" s="20"/>
      <c r="G279" s="20"/>
    </row>
    <row r="280" spans="5:7" ht="15.75" customHeight="1">
      <c r="E280" s="20"/>
      <c r="F280" s="20"/>
      <c r="G280" s="20"/>
    </row>
    <row r="281" spans="5:7" ht="15.75" customHeight="1">
      <c r="E281" s="20"/>
      <c r="F281" s="20"/>
      <c r="G281" s="20"/>
    </row>
    <row r="282" spans="5:7" ht="15.75" customHeight="1">
      <c r="E282" s="20"/>
      <c r="F282" s="20"/>
      <c r="G282" s="20"/>
    </row>
    <row r="283" spans="5:7" ht="15.75" customHeight="1">
      <c r="E283" s="20"/>
      <c r="F283" s="20"/>
      <c r="G283" s="20"/>
    </row>
    <row r="284" spans="5:7" ht="15.75" customHeight="1">
      <c r="E284" s="20"/>
      <c r="F284" s="20"/>
      <c r="G284" s="20"/>
    </row>
    <row r="285" spans="5:7" ht="15.75" customHeight="1">
      <c r="E285" s="20"/>
      <c r="F285" s="20"/>
      <c r="G285" s="20"/>
    </row>
    <row r="286" spans="5:7" ht="15.75" customHeight="1">
      <c r="E286" s="20"/>
      <c r="F286" s="20"/>
      <c r="G286" s="20"/>
    </row>
    <row r="287" spans="5:7" ht="15.75" customHeight="1">
      <c r="E287" s="20"/>
      <c r="F287" s="20"/>
      <c r="G287" s="20"/>
    </row>
    <row r="288" spans="5:7" ht="15.75" customHeight="1">
      <c r="E288" s="20"/>
      <c r="F288" s="20"/>
      <c r="G288" s="20"/>
    </row>
    <row r="289" spans="5:7" ht="15.75" customHeight="1">
      <c r="E289" s="20"/>
      <c r="F289" s="20"/>
      <c r="G289" s="20"/>
    </row>
    <row r="290" spans="5:7" ht="15.75" customHeight="1">
      <c r="E290" s="20"/>
      <c r="F290" s="20"/>
      <c r="G290" s="20"/>
    </row>
    <row r="291" spans="5:7" ht="15.75" customHeight="1">
      <c r="E291" s="20"/>
      <c r="F291" s="20"/>
      <c r="G291" s="20"/>
    </row>
    <row r="292" spans="5:7" ht="15.75" customHeight="1">
      <c r="E292" s="20"/>
      <c r="F292" s="20"/>
      <c r="G292" s="20"/>
    </row>
    <row r="293" spans="5:7" ht="15.75" customHeight="1">
      <c r="E293" s="20"/>
      <c r="F293" s="20"/>
      <c r="G293" s="20"/>
    </row>
    <row r="294" spans="5:7" ht="15.75" customHeight="1">
      <c r="E294" s="20"/>
      <c r="F294" s="20"/>
      <c r="G294" s="20"/>
    </row>
    <row r="295" spans="5:7" ht="15.75" customHeight="1">
      <c r="E295" s="20"/>
      <c r="F295" s="20"/>
      <c r="G295" s="20"/>
    </row>
    <row r="296" spans="5:7" ht="15.75" customHeight="1">
      <c r="E296" s="20"/>
      <c r="F296" s="20"/>
      <c r="G296" s="20"/>
    </row>
    <row r="297" spans="5:7" ht="15.75" customHeight="1">
      <c r="E297" s="20"/>
      <c r="F297" s="20"/>
      <c r="G297" s="20"/>
    </row>
    <row r="298" spans="5:7" ht="15.75" customHeight="1">
      <c r="E298" s="20"/>
      <c r="F298" s="20"/>
      <c r="G298" s="20"/>
    </row>
    <row r="299" spans="5:7" ht="15.75" customHeight="1">
      <c r="E299" s="20"/>
      <c r="F299" s="20"/>
      <c r="G299" s="20"/>
    </row>
    <row r="300" spans="5:7" ht="15.75" customHeight="1">
      <c r="E300" s="20"/>
      <c r="F300" s="20"/>
      <c r="G300" s="20"/>
    </row>
    <row r="301" spans="5:7" ht="15.75" customHeight="1">
      <c r="E301" s="20"/>
      <c r="F301" s="20"/>
      <c r="G301" s="20"/>
    </row>
    <row r="302" spans="5:7" ht="15.75" customHeight="1">
      <c r="E302" s="20"/>
      <c r="F302" s="20"/>
      <c r="G302" s="20"/>
    </row>
    <row r="303" spans="5:7" ht="15.75" customHeight="1">
      <c r="E303" s="20"/>
      <c r="F303" s="20"/>
      <c r="G303" s="20"/>
    </row>
    <row r="304" spans="5:7" ht="15.75" customHeight="1">
      <c r="E304" s="20"/>
      <c r="F304" s="20"/>
      <c r="G304" s="20"/>
    </row>
    <row r="305" spans="5:7" ht="15.75" customHeight="1">
      <c r="E305" s="20"/>
      <c r="F305" s="20"/>
      <c r="G305" s="20"/>
    </row>
    <row r="306" spans="5:7" ht="15.75" customHeight="1">
      <c r="E306" s="20"/>
      <c r="F306" s="20"/>
      <c r="G306" s="20"/>
    </row>
    <row r="307" spans="5:7" ht="15.75" customHeight="1">
      <c r="E307" s="20"/>
      <c r="F307" s="20"/>
      <c r="G307" s="20"/>
    </row>
    <row r="308" spans="5:7" ht="15.75" customHeight="1">
      <c r="E308" s="20"/>
      <c r="F308" s="20"/>
      <c r="G308" s="20"/>
    </row>
    <row r="309" spans="5:7" ht="15.75" customHeight="1">
      <c r="E309" s="20"/>
      <c r="F309" s="20"/>
      <c r="G309" s="20"/>
    </row>
    <row r="310" spans="5:7" ht="15.75" customHeight="1">
      <c r="E310" s="20"/>
      <c r="F310" s="20"/>
      <c r="G310" s="20"/>
    </row>
    <row r="311" spans="5:7" ht="15.75" customHeight="1">
      <c r="E311" s="20"/>
      <c r="F311" s="20"/>
      <c r="G311" s="20"/>
    </row>
    <row r="312" spans="5:7" ht="15.75" customHeight="1">
      <c r="E312" s="20"/>
      <c r="F312" s="20"/>
      <c r="G312" s="20"/>
    </row>
    <row r="313" spans="5:7" ht="15.75" customHeight="1">
      <c r="E313" s="20"/>
      <c r="F313" s="20"/>
      <c r="G313" s="20"/>
    </row>
    <row r="314" spans="5:7" ht="15.75" customHeight="1">
      <c r="E314" s="20"/>
      <c r="F314" s="20"/>
      <c r="G314" s="20"/>
    </row>
    <row r="315" spans="5:7" ht="15.75" customHeight="1">
      <c r="E315" s="20"/>
      <c r="F315" s="20"/>
      <c r="G315" s="20"/>
    </row>
    <row r="316" spans="5:7" ht="15.75" customHeight="1">
      <c r="E316" s="20"/>
      <c r="F316" s="20"/>
      <c r="G316" s="20"/>
    </row>
    <row r="317" spans="5:7" ht="15.75" customHeight="1">
      <c r="E317" s="20"/>
      <c r="F317" s="20"/>
      <c r="G317" s="20"/>
    </row>
    <row r="318" spans="5:7" ht="15.75" customHeight="1">
      <c r="E318" s="20"/>
      <c r="F318" s="20"/>
      <c r="G318" s="20"/>
    </row>
    <row r="319" spans="5:7" ht="15.75" customHeight="1">
      <c r="E319" s="20"/>
      <c r="F319" s="20"/>
      <c r="G319" s="20"/>
    </row>
    <row r="320" spans="5:7" ht="15.75" customHeight="1">
      <c r="E320" s="20"/>
      <c r="F320" s="20"/>
      <c r="G320" s="20"/>
    </row>
    <row r="321" spans="5:7" ht="15.75" customHeight="1">
      <c r="E321" s="20"/>
      <c r="F321" s="20"/>
      <c r="G321" s="20"/>
    </row>
    <row r="322" spans="5:7" ht="15.75" customHeight="1">
      <c r="E322" s="20"/>
      <c r="F322" s="20"/>
      <c r="G322" s="20"/>
    </row>
    <row r="323" spans="5:7" ht="15.75" customHeight="1">
      <c r="E323" s="20"/>
      <c r="F323" s="20"/>
      <c r="G323" s="20"/>
    </row>
    <row r="324" spans="5:7" ht="15.75" customHeight="1">
      <c r="E324" s="20"/>
      <c r="F324" s="20"/>
      <c r="G324" s="20"/>
    </row>
    <row r="325" spans="5:7" ht="15.75" customHeight="1">
      <c r="E325" s="20"/>
      <c r="F325" s="20"/>
      <c r="G325" s="20"/>
    </row>
    <row r="326" spans="5:7" ht="15.75" customHeight="1">
      <c r="E326" s="20"/>
      <c r="F326" s="20"/>
      <c r="G326" s="20"/>
    </row>
    <row r="327" spans="5:7" ht="15.75" customHeight="1">
      <c r="E327" s="20"/>
      <c r="F327" s="20"/>
      <c r="G327" s="20"/>
    </row>
    <row r="328" spans="5:7" ht="15.75" customHeight="1">
      <c r="E328" s="20"/>
      <c r="F328" s="20"/>
      <c r="G328" s="20"/>
    </row>
    <row r="329" spans="5:7" ht="15.75" customHeight="1">
      <c r="E329" s="20"/>
      <c r="F329" s="20"/>
      <c r="G329" s="20"/>
    </row>
    <row r="330" spans="5:7" ht="15.75" customHeight="1">
      <c r="E330" s="20"/>
      <c r="F330" s="20"/>
      <c r="G330" s="20"/>
    </row>
    <row r="331" spans="5:7" ht="15.75" customHeight="1">
      <c r="E331" s="20"/>
      <c r="F331" s="20"/>
      <c r="G331" s="20"/>
    </row>
    <row r="332" spans="5:7" ht="15.75" customHeight="1">
      <c r="E332" s="20"/>
      <c r="F332" s="20"/>
      <c r="G332" s="20"/>
    </row>
    <row r="333" spans="5:7" ht="15.75" customHeight="1">
      <c r="E333" s="20"/>
      <c r="F333" s="20"/>
      <c r="G333" s="20"/>
    </row>
    <row r="334" spans="5:7" ht="15.75" customHeight="1">
      <c r="E334" s="20"/>
      <c r="F334" s="20"/>
      <c r="G334" s="20"/>
    </row>
    <row r="335" spans="5:7" ht="15.75" customHeight="1">
      <c r="E335" s="20"/>
      <c r="F335" s="20"/>
      <c r="G335" s="20"/>
    </row>
    <row r="336" spans="5:7" ht="15.75" customHeight="1">
      <c r="E336" s="20"/>
      <c r="F336" s="20"/>
      <c r="G336" s="20"/>
    </row>
    <row r="337" spans="5:7" ht="15.75" customHeight="1">
      <c r="E337" s="20"/>
      <c r="F337" s="20"/>
      <c r="G337" s="20"/>
    </row>
    <row r="338" spans="5:7" ht="15.75" customHeight="1">
      <c r="E338" s="20"/>
      <c r="F338" s="20"/>
      <c r="G338" s="20"/>
    </row>
    <row r="339" spans="5:7" ht="15.75" customHeight="1">
      <c r="E339" s="20"/>
      <c r="F339" s="20"/>
      <c r="G339" s="20"/>
    </row>
    <row r="340" spans="5:7" ht="15.75" customHeight="1">
      <c r="E340" s="20"/>
      <c r="F340" s="20"/>
      <c r="G340" s="20"/>
    </row>
    <row r="341" spans="5:7" ht="15.75" customHeight="1">
      <c r="E341" s="20"/>
      <c r="F341" s="20"/>
      <c r="G341" s="20"/>
    </row>
    <row r="342" spans="5:7" ht="15.75" customHeight="1">
      <c r="E342" s="20"/>
      <c r="F342" s="20"/>
      <c r="G342" s="20"/>
    </row>
    <row r="343" spans="5:7" ht="15.75" customHeight="1">
      <c r="E343" s="20"/>
      <c r="F343" s="20"/>
      <c r="G343" s="20"/>
    </row>
    <row r="344" spans="5:7" ht="15.75" customHeight="1">
      <c r="E344" s="20"/>
      <c r="F344" s="20"/>
      <c r="G344" s="20"/>
    </row>
    <row r="345" spans="5:7" ht="15.75" customHeight="1">
      <c r="E345" s="20"/>
      <c r="F345" s="20"/>
      <c r="G345" s="20"/>
    </row>
    <row r="346" spans="5:7" ht="15.75" customHeight="1">
      <c r="E346" s="20"/>
      <c r="F346" s="20"/>
      <c r="G346" s="20"/>
    </row>
    <row r="347" spans="5:7" ht="15.75" customHeight="1">
      <c r="E347" s="20"/>
      <c r="F347" s="20"/>
      <c r="G347" s="20"/>
    </row>
    <row r="348" spans="5:7" ht="15.75" customHeight="1">
      <c r="E348" s="20"/>
      <c r="F348" s="20"/>
      <c r="G348" s="20"/>
    </row>
    <row r="349" spans="5:7" ht="15.75" customHeight="1">
      <c r="E349" s="20"/>
      <c r="F349" s="20"/>
      <c r="G349" s="20"/>
    </row>
    <row r="350" spans="5:7" ht="15.75" customHeight="1">
      <c r="E350" s="20"/>
      <c r="F350" s="20"/>
      <c r="G350" s="20"/>
    </row>
    <row r="351" spans="5:7" ht="15.75" customHeight="1">
      <c r="E351" s="20"/>
      <c r="F351" s="20"/>
      <c r="G351" s="20"/>
    </row>
    <row r="352" spans="5:7" ht="15.75" customHeight="1">
      <c r="E352" s="20"/>
      <c r="F352" s="20"/>
      <c r="G352" s="20"/>
    </row>
    <row r="353" spans="5:7" ht="15.75" customHeight="1">
      <c r="E353" s="20"/>
      <c r="F353" s="20"/>
      <c r="G353" s="20"/>
    </row>
    <row r="354" spans="5:7" ht="15.75" customHeight="1">
      <c r="E354" s="20"/>
      <c r="F354" s="20"/>
      <c r="G354" s="20"/>
    </row>
    <row r="355" spans="5:7" ht="15.75" customHeight="1">
      <c r="E355" s="20"/>
      <c r="F355" s="20"/>
      <c r="G355" s="20"/>
    </row>
    <row r="356" spans="5:7" ht="15.75" customHeight="1">
      <c r="E356" s="20"/>
      <c r="F356" s="20"/>
      <c r="G356" s="20"/>
    </row>
    <row r="357" spans="5:7" ht="15.75" customHeight="1">
      <c r="E357" s="20"/>
      <c r="F357" s="20"/>
      <c r="G357" s="20"/>
    </row>
    <row r="358" spans="5:7" ht="15.75" customHeight="1">
      <c r="E358" s="20"/>
      <c r="F358" s="20"/>
      <c r="G358" s="20"/>
    </row>
    <row r="359" spans="5:7" ht="15.75" customHeight="1">
      <c r="E359" s="20"/>
      <c r="F359" s="20"/>
      <c r="G359" s="20"/>
    </row>
    <row r="360" spans="5:7" ht="15.75" customHeight="1">
      <c r="E360" s="20"/>
      <c r="F360" s="20"/>
      <c r="G360" s="20"/>
    </row>
    <row r="361" spans="5:7" ht="15.75" customHeight="1">
      <c r="E361" s="20"/>
      <c r="F361" s="20"/>
      <c r="G361" s="20"/>
    </row>
    <row r="362" spans="5:7" ht="15.75" customHeight="1">
      <c r="E362" s="20"/>
      <c r="F362" s="20"/>
      <c r="G362" s="20"/>
    </row>
    <row r="363" spans="5:7" ht="15.75" customHeight="1">
      <c r="E363" s="20"/>
      <c r="F363" s="20"/>
      <c r="G363" s="20"/>
    </row>
    <row r="364" spans="5:7" ht="15.75" customHeight="1">
      <c r="E364" s="20"/>
      <c r="F364" s="20"/>
      <c r="G364" s="20"/>
    </row>
    <row r="365" spans="5:7" ht="15.75" customHeight="1">
      <c r="E365" s="20"/>
      <c r="F365" s="20"/>
      <c r="G365" s="20"/>
    </row>
    <row r="366" spans="5:7" ht="15.75" customHeight="1">
      <c r="E366" s="20"/>
      <c r="F366" s="20"/>
      <c r="G366" s="20"/>
    </row>
    <row r="367" spans="5:7" ht="15.75" customHeight="1">
      <c r="E367" s="20"/>
      <c r="F367" s="20"/>
      <c r="G367" s="20"/>
    </row>
    <row r="368" spans="5:7" ht="15.75" customHeight="1">
      <c r="E368" s="20"/>
      <c r="F368" s="20"/>
      <c r="G368" s="20"/>
    </row>
    <row r="369" spans="5:7" ht="15.75" customHeight="1">
      <c r="E369" s="20"/>
      <c r="F369" s="20"/>
      <c r="G369" s="20"/>
    </row>
    <row r="370" spans="5:7" ht="15.75" customHeight="1">
      <c r="E370" s="20"/>
      <c r="F370" s="20"/>
      <c r="G370" s="20"/>
    </row>
    <row r="371" spans="5:7" ht="15.75" customHeight="1">
      <c r="E371" s="20"/>
      <c r="F371" s="20"/>
      <c r="G371" s="20"/>
    </row>
    <row r="372" spans="5:7" ht="15.75" customHeight="1">
      <c r="E372" s="20"/>
      <c r="F372" s="20"/>
      <c r="G372" s="20"/>
    </row>
    <row r="373" spans="5:7" ht="15.75" customHeight="1">
      <c r="E373" s="20"/>
      <c r="F373" s="20"/>
      <c r="G373" s="20"/>
    </row>
    <row r="374" spans="5:7" ht="15.75" customHeight="1">
      <c r="E374" s="20"/>
      <c r="F374" s="20"/>
      <c r="G374" s="20"/>
    </row>
    <row r="375" spans="5:7" ht="15.75" customHeight="1">
      <c r="E375" s="20"/>
      <c r="F375" s="20"/>
      <c r="G375" s="20"/>
    </row>
    <row r="376" spans="5:7" ht="15.75" customHeight="1">
      <c r="E376" s="20"/>
      <c r="F376" s="20"/>
      <c r="G376" s="20"/>
    </row>
    <row r="377" spans="5:7" ht="15.75" customHeight="1">
      <c r="E377" s="20"/>
      <c r="F377" s="20"/>
      <c r="G377" s="20"/>
    </row>
    <row r="378" spans="5:7" ht="15.75" customHeight="1">
      <c r="E378" s="20"/>
      <c r="F378" s="20"/>
      <c r="G378" s="20"/>
    </row>
    <row r="379" spans="5:7" ht="15.75" customHeight="1">
      <c r="E379" s="20"/>
      <c r="F379" s="20"/>
      <c r="G379" s="20"/>
    </row>
    <row r="380" spans="5:7" ht="15.75" customHeight="1">
      <c r="E380" s="20"/>
      <c r="F380" s="20"/>
      <c r="G380" s="20"/>
    </row>
    <row r="381" spans="5:7" ht="15.75" customHeight="1">
      <c r="E381" s="20"/>
      <c r="F381" s="20"/>
      <c r="G381" s="20"/>
    </row>
    <row r="382" spans="5:7" ht="15.75" customHeight="1">
      <c r="E382" s="20"/>
      <c r="F382" s="20"/>
      <c r="G382" s="20"/>
    </row>
    <row r="383" spans="5:7" ht="15.75" customHeight="1">
      <c r="E383" s="20"/>
      <c r="F383" s="20"/>
      <c r="G383" s="20"/>
    </row>
    <row r="384" spans="5:7" ht="15.75" customHeight="1">
      <c r="E384" s="20"/>
      <c r="F384" s="20"/>
      <c r="G384" s="20"/>
    </row>
    <row r="385" spans="5:7" ht="15.75" customHeight="1">
      <c r="E385" s="20"/>
      <c r="F385" s="20"/>
      <c r="G385" s="20"/>
    </row>
    <row r="386" spans="5:7" ht="15.75" customHeight="1">
      <c r="E386" s="20"/>
      <c r="F386" s="20"/>
      <c r="G386" s="20"/>
    </row>
    <row r="387" spans="5:7" ht="15.75" customHeight="1">
      <c r="E387" s="20"/>
      <c r="F387" s="20"/>
      <c r="G387" s="20"/>
    </row>
    <row r="388" spans="5:7" ht="15.75" customHeight="1">
      <c r="E388" s="20"/>
      <c r="F388" s="20"/>
      <c r="G388" s="20"/>
    </row>
    <row r="389" spans="5:7" ht="15.75" customHeight="1">
      <c r="E389" s="20"/>
      <c r="F389" s="20"/>
      <c r="G389" s="20"/>
    </row>
    <row r="390" spans="5:7" ht="15.75" customHeight="1">
      <c r="E390" s="20"/>
      <c r="F390" s="20"/>
      <c r="G390" s="20"/>
    </row>
    <row r="391" spans="5:7" ht="15.75" customHeight="1">
      <c r="E391" s="20"/>
      <c r="F391" s="20"/>
      <c r="G391" s="20"/>
    </row>
    <row r="392" spans="5:7" ht="15.75" customHeight="1">
      <c r="E392" s="20"/>
      <c r="F392" s="20"/>
      <c r="G392" s="20"/>
    </row>
    <row r="393" spans="5:7" ht="15.75" customHeight="1">
      <c r="E393" s="20"/>
      <c r="F393" s="20"/>
      <c r="G393" s="20"/>
    </row>
    <row r="394" spans="5:7" ht="15.75" customHeight="1">
      <c r="E394" s="20"/>
      <c r="F394" s="20"/>
      <c r="G394" s="20"/>
    </row>
    <row r="395" spans="5:7" ht="15.75" customHeight="1">
      <c r="E395" s="20"/>
      <c r="F395" s="20"/>
      <c r="G395" s="20"/>
    </row>
    <row r="396" spans="5:7" ht="15.75" customHeight="1">
      <c r="E396" s="20"/>
      <c r="F396" s="20"/>
      <c r="G396" s="20"/>
    </row>
    <row r="397" spans="5:7" ht="15.75" customHeight="1">
      <c r="E397" s="20"/>
      <c r="F397" s="20"/>
      <c r="G397" s="20"/>
    </row>
    <row r="398" spans="5:7" ht="15.75" customHeight="1">
      <c r="E398" s="20"/>
      <c r="F398" s="20"/>
      <c r="G398" s="20"/>
    </row>
    <row r="399" spans="5:7" ht="15.75" customHeight="1">
      <c r="E399" s="20"/>
      <c r="F399" s="20"/>
      <c r="G399" s="20"/>
    </row>
    <row r="400" spans="5:7" ht="15.75" customHeight="1">
      <c r="E400" s="20"/>
      <c r="F400" s="20"/>
      <c r="G400" s="20"/>
    </row>
    <row r="401" spans="5:7" ht="15.75" customHeight="1">
      <c r="E401" s="20"/>
      <c r="F401" s="20"/>
      <c r="G401" s="20"/>
    </row>
    <row r="402" spans="5:7" ht="15.75" customHeight="1">
      <c r="E402" s="20"/>
      <c r="F402" s="20"/>
      <c r="G402" s="20"/>
    </row>
    <row r="403" spans="5:7" ht="15.75" customHeight="1">
      <c r="E403" s="20"/>
      <c r="F403" s="20"/>
      <c r="G403" s="20"/>
    </row>
    <row r="404" spans="5:7" ht="15.75" customHeight="1">
      <c r="E404" s="20"/>
      <c r="F404" s="20"/>
      <c r="G404" s="20"/>
    </row>
    <row r="405" spans="5:7" ht="15.75" customHeight="1">
      <c r="E405" s="20"/>
      <c r="F405" s="20"/>
      <c r="G405" s="20"/>
    </row>
    <row r="406" spans="5:7" ht="15.75" customHeight="1">
      <c r="E406" s="20"/>
      <c r="F406" s="20"/>
      <c r="G406" s="20"/>
    </row>
    <row r="407" spans="5:7" ht="15.75" customHeight="1">
      <c r="E407" s="20"/>
      <c r="F407" s="20"/>
      <c r="G407" s="20"/>
    </row>
    <row r="408" spans="5:7" ht="15.75" customHeight="1">
      <c r="E408" s="20"/>
      <c r="F408" s="20"/>
      <c r="G408" s="20"/>
    </row>
    <row r="409" spans="5:7" ht="15.75" customHeight="1">
      <c r="E409" s="20"/>
      <c r="F409" s="20"/>
      <c r="G409" s="20"/>
    </row>
    <row r="410" spans="5:7" ht="15.75" customHeight="1">
      <c r="E410" s="20"/>
      <c r="F410" s="20"/>
      <c r="G410" s="20"/>
    </row>
    <row r="411" spans="5:7" ht="15.75" customHeight="1">
      <c r="E411" s="20"/>
      <c r="F411" s="20"/>
      <c r="G411" s="20"/>
    </row>
    <row r="412" spans="5:7" ht="15.75" customHeight="1">
      <c r="E412" s="20"/>
      <c r="F412" s="20"/>
      <c r="G412" s="20"/>
    </row>
    <row r="413" spans="5:7" ht="15.75" customHeight="1">
      <c r="E413" s="20"/>
      <c r="F413" s="20"/>
      <c r="G413" s="20"/>
    </row>
    <row r="414" spans="5:7" ht="15.75" customHeight="1">
      <c r="E414" s="20"/>
      <c r="F414" s="20"/>
      <c r="G414" s="20"/>
    </row>
    <row r="415" spans="5:7" ht="15.75" customHeight="1">
      <c r="E415" s="20"/>
      <c r="F415" s="20"/>
      <c r="G415" s="20"/>
    </row>
    <row r="416" spans="5:7" ht="15.75" customHeight="1">
      <c r="E416" s="20"/>
      <c r="F416" s="20"/>
      <c r="G416" s="20"/>
    </row>
    <row r="417" spans="5:7" ht="15.75" customHeight="1">
      <c r="E417" s="20"/>
      <c r="F417" s="20"/>
      <c r="G417" s="20"/>
    </row>
    <row r="418" spans="5:7" ht="15.75" customHeight="1">
      <c r="E418" s="20"/>
      <c r="F418" s="20"/>
      <c r="G418" s="20"/>
    </row>
    <row r="419" spans="5:7" ht="15.75" customHeight="1">
      <c r="E419" s="20"/>
      <c r="F419" s="20"/>
      <c r="G419" s="20"/>
    </row>
    <row r="420" spans="5:7" ht="15.75" customHeight="1">
      <c r="E420" s="20"/>
      <c r="F420" s="20"/>
      <c r="G420" s="20"/>
    </row>
    <row r="421" spans="5:7" ht="15.75" customHeight="1">
      <c r="E421" s="20"/>
      <c r="F421" s="20"/>
      <c r="G421" s="20"/>
    </row>
    <row r="422" spans="5:7" ht="15.75" customHeight="1">
      <c r="E422" s="20"/>
      <c r="F422" s="20"/>
      <c r="G422" s="20"/>
    </row>
    <row r="423" spans="5:7" ht="15.75" customHeight="1">
      <c r="E423" s="20"/>
      <c r="F423" s="20"/>
      <c r="G423" s="20"/>
    </row>
    <row r="424" spans="5:7" ht="15.75" customHeight="1">
      <c r="E424" s="20"/>
      <c r="F424" s="20"/>
      <c r="G424" s="20"/>
    </row>
    <row r="425" spans="5:7" ht="15.75" customHeight="1">
      <c r="E425" s="20"/>
      <c r="F425" s="20"/>
      <c r="G425" s="20"/>
    </row>
    <row r="426" spans="5:7" ht="15.75" customHeight="1">
      <c r="E426" s="20"/>
      <c r="F426" s="20"/>
      <c r="G426" s="20"/>
    </row>
    <row r="427" spans="5:7" ht="15.75" customHeight="1">
      <c r="E427" s="20"/>
      <c r="F427" s="20"/>
      <c r="G427" s="20"/>
    </row>
    <row r="428" spans="5:7" ht="15.75" customHeight="1">
      <c r="E428" s="20"/>
      <c r="F428" s="20"/>
      <c r="G428" s="20"/>
    </row>
    <row r="429" spans="5:7" ht="15.75" customHeight="1">
      <c r="E429" s="20"/>
      <c r="F429" s="20"/>
      <c r="G429" s="20"/>
    </row>
    <row r="430" spans="5:7" ht="15.75" customHeight="1">
      <c r="E430" s="20"/>
      <c r="F430" s="20"/>
      <c r="G430" s="20"/>
    </row>
    <row r="431" spans="5:7" ht="15.75" customHeight="1">
      <c r="E431" s="20"/>
      <c r="F431" s="20"/>
      <c r="G431" s="20"/>
    </row>
    <row r="432" spans="5:7" ht="15.75" customHeight="1">
      <c r="E432" s="20"/>
      <c r="F432" s="20"/>
      <c r="G432" s="20"/>
    </row>
    <row r="433" spans="5:7" ht="15.75" customHeight="1">
      <c r="E433" s="20"/>
      <c r="F433" s="20"/>
      <c r="G433" s="20"/>
    </row>
    <row r="434" spans="5:7" ht="15.75" customHeight="1">
      <c r="E434" s="20"/>
      <c r="F434" s="20"/>
      <c r="G434" s="20"/>
    </row>
    <row r="435" spans="5:7" ht="15.75" customHeight="1">
      <c r="E435" s="20"/>
      <c r="F435" s="20"/>
      <c r="G435" s="20"/>
    </row>
    <row r="436" spans="5:7" ht="15.75" customHeight="1">
      <c r="E436" s="20"/>
      <c r="F436" s="20"/>
      <c r="G436" s="20"/>
    </row>
    <row r="437" spans="5:7" ht="15.75" customHeight="1">
      <c r="E437" s="20"/>
      <c r="F437" s="20"/>
      <c r="G437" s="20"/>
    </row>
    <row r="438" spans="5:7" ht="15.75" customHeight="1">
      <c r="E438" s="20"/>
      <c r="F438" s="20"/>
      <c r="G438" s="20"/>
    </row>
    <row r="439" spans="5:7" ht="15.75" customHeight="1">
      <c r="E439" s="20"/>
      <c r="F439" s="20"/>
      <c r="G439" s="20"/>
    </row>
    <row r="440" spans="5:7" ht="15.75" customHeight="1">
      <c r="E440" s="20"/>
      <c r="F440" s="20"/>
      <c r="G440" s="20"/>
    </row>
    <row r="441" spans="5:7" ht="15.75" customHeight="1">
      <c r="E441" s="20"/>
      <c r="F441" s="20"/>
      <c r="G441" s="20"/>
    </row>
    <row r="442" spans="5:7" ht="15.75" customHeight="1">
      <c r="E442" s="20"/>
      <c r="F442" s="20"/>
      <c r="G442" s="20"/>
    </row>
    <row r="443" spans="5:7" ht="15.75" customHeight="1">
      <c r="E443" s="20"/>
      <c r="F443" s="20"/>
      <c r="G443" s="20"/>
    </row>
    <row r="444" spans="5:7" ht="15.75" customHeight="1">
      <c r="E444" s="20"/>
      <c r="F444" s="20"/>
      <c r="G444" s="20"/>
    </row>
    <row r="445" spans="5:7" ht="15.75" customHeight="1">
      <c r="E445" s="20"/>
      <c r="F445" s="20"/>
      <c r="G445" s="20"/>
    </row>
    <row r="446" spans="5:7" ht="15.75" customHeight="1">
      <c r="E446" s="20"/>
      <c r="F446" s="20"/>
      <c r="G446" s="20"/>
    </row>
    <row r="447" spans="5:7" ht="15.75" customHeight="1">
      <c r="E447" s="20"/>
      <c r="F447" s="20"/>
      <c r="G447" s="20"/>
    </row>
    <row r="448" spans="5:7" ht="15.75" customHeight="1">
      <c r="E448" s="20"/>
      <c r="F448" s="20"/>
      <c r="G448" s="20"/>
    </row>
    <row r="449" spans="5:7" ht="15.75" customHeight="1">
      <c r="E449" s="20"/>
      <c r="F449" s="20"/>
      <c r="G449" s="20"/>
    </row>
    <row r="450" spans="5:7" ht="15.75" customHeight="1">
      <c r="E450" s="20"/>
      <c r="F450" s="20"/>
      <c r="G450" s="20"/>
    </row>
    <row r="451" spans="5:7" ht="15.75" customHeight="1">
      <c r="E451" s="20"/>
      <c r="F451" s="20"/>
      <c r="G451" s="20"/>
    </row>
    <row r="452" spans="5:7" ht="15.75" customHeight="1">
      <c r="E452" s="20"/>
      <c r="F452" s="20"/>
      <c r="G452" s="20"/>
    </row>
    <row r="453" spans="5:7" ht="15.75" customHeight="1">
      <c r="E453" s="20"/>
      <c r="F453" s="20"/>
      <c r="G453" s="20"/>
    </row>
    <row r="454" spans="5:7" ht="15.75" customHeight="1">
      <c r="E454" s="20"/>
      <c r="F454" s="20"/>
      <c r="G454" s="20"/>
    </row>
    <row r="455" spans="5:7" ht="15.75" customHeight="1">
      <c r="E455" s="20"/>
      <c r="F455" s="20"/>
      <c r="G455" s="20"/>
    </row>
    <row r="456" spans="5:7" ht="15.75" customHeight="1">
      <c r="E456" s="20"/>
      <c r="F456" s="20"/>
      <c r="G456" s="20"/>
    </row>
    <row r="457" spans="5:7" ht="15.75" customHeight="1">
      <c r="E457" s="20"/>
      <c r="F457" s="20"/>
      <c r="G457" s="20"/>
    </row>
    <row r="458" spans="5:7" ht="15.75" customHeight="1">
      <c r="E458" s="20"/>
      <c r="F458" s="20"/>
      <c r="G458" s="20"/>
    </row>
    <row r="459" spans="5:7" ht="15.75" customHeight="1">
      <c r="E459" s="20"/>
      <c r="F459" s="20"/>
      <c r="G459" s="20"/>
    </row>
    <row r="460" spans="5:7" ht="15.75" customHeight="1">
      <c r="E460" s="20"/>
      <c r="F460" s="20"/>
      <c r="G460" s="20"/>
    </row>
    <row r="461" spans="5:7" ht="15.75" customHeight="1">
      <c r="E461" s="20"/>
      <c r="F461" s="20"/>
      <c r="G461" s="20"/>
    </row>
    <row r="462" spans="5:7" ht="15.75" customHeight="1">
      <c r="E462" s="20"/>
      <c r="F462" s="20"/>
      <c r="G462" s="20"/>
    </row>
    <row r="463" spans="5:7" ht="15.75" customHeight="1">
      <c r="E463" s="20"/>
      <c r="F463" s="20"/>
      <c r="G463" s="20"/>
    </row>
    <row r="464" spans="5:7" ht="15.75" customHeight="1">
      <c r="E464" s="20"/>
      <c r="F464" s="20"/>
      <c r="G464" s="20"/>
    </row>
    <row r="465" spans="5:7" ht="15.75" customHeight="1">
      <c r="E465" s="20"/>
      <c r="F465" s="20"/>
      <c r="G465" s="20"/>
    </row>
    <row r="466" spans="5:7" ht="15.75" customHeight="1">
      <c r="E466" s="20"/>
      <c r="F466" s="20"/>
      <c r="G466" s="20"/>
    </row>
    <row r="467" spans="5:7" ht="15.75" customHeight="1">
      <c r="E467" s="20"/>
      <c r="F467" s="20"/>
      <c r="G467" s="20"/>
    </row>
    <row r="468" spans="5:7" ht="15.75" customHeight="1">
      <c r="E468" s="20"/>
      <c r="F468" s="20"/>
      <c r="G468" s="20"/>
    </row>
    <row r="469" spans="5:7" ht="15.75" customHeight="1">
      <c r="E469" s="20"/>
      <c r="F469" s="20"/>
      <c r="G469" s="20"/>
    </row>
    <row r="470" spans="5:7" ht="15.75" customHeight="1">
      <c r="E470" s="20"/>
      <c r="F470" s="20"/>
      <c r="G470" s="20"/>
    </row>
    <row r="471" spans="5:7" ht="15.75" customHeight="1">
      <c r="E471" s="20"/>
      <c r="F471" s="20"/>
      <c r="G471" s="20"/>
    </row>
    <row r="472" spans="5:7" ht="15.75" customHeight="1">
      <c r="E472" s="20"/>
      <c r="F472" s="20"/>
      <c r="G472" s="20"/>
    </row>
    <row r="473" spans="5:7" ht="15.75" customHeight="1">
      <c r="E473" s="20"/>
      <c r="F473" s="20"/>
      <c r="G473" s="20"/>
    </row>
    <row r="474" spans="5:7" ht="15.75" customHeight="1">
      <c r="E474" s="20"/>
      <c r="F474" s="20"/>
      <c r="G474" s="20"/>
    </row>
    <row r="475" spans="5:7" ht="15.75" customHeight="1">
      <c r="E475" s="20"/>
      <c r="F475" s="20"/>
      <c r="G475" s="20"/>
    </row>
    <row r="476" spans="5:7" ht="15.75" customHeight="1">
      <c r="E476" s="20"/>
      <c r="F476" s="20"/>
      <c r="G476" s="20"/>
    </row>
    <row r="477" spans="5:7" ht="15.75" customHeight="1">
      <c r="E477" s="20"/>
      <c r="F477" s="20"/>
      <c r="G477" s="20"/>
    </row>
    <row r="478" spans="5:7" ht="15.75" customHeight="1">
      <c r="E478" s="20"/>
      <c r="F478" s="20"/>
      <c r="G478" s="20"/>
    </row>
    <row r="479" spans="5:7" ht="15.75" customHeight="1">
      <c r="E479" s="20"/>
      <c r="F479" s="20"/>
      <c r="G479" s="20"/>
    </row>
    <row r="480" spans="5:7" ht="15.75" customHeight="1">
      <c r="E480" s="20"/>
      <c r="F480" s="20"/>
      <c r="G480" s="20"/>
    </row>
    <row r="481" spans="5:7" ht="15.75" customHeight="1">
      <c r="E481" s="20"/>
      <c r="F481" s="20"/>
      <c r="G481" s="20"/>
    </row>
    <row r="482" spans="5:7" ht="15.75" customHeight="1">
      <c r="E482" s="20"/>
      <c r="F482" s="20"/>
      <c r="G482" s="20"/>
    </row>
    <row r="483" spans="5:7" ht="15.75" customHeight="1">
      <c r="E483" s="20"/>
      <c r="F483" s="20"/>
      <c r="G483" s="20"/>
    </row>
    <row r="484" spans="5:7" ht="15.75" customHeight="1">
      <c r="E484" s="20"/>
      <c r="F484" s="20"/>
      <c r="G484" s="20"/>
    </row>
    <row r="485" spans="5:7" ht="15.75" customHeight="1">
      <c r="E485" s="20"/>
      <c r="F485" s="20"/>
      <c r="G485" s="20"/>
    </row>
    <row r="486" spans="5:7" ht="15.75" customHeight="1">
      <c r="E486" s="20"/>
      <c r="F486" s="20"/>
      <c r="G486" s="20"/>
    </row>
    <row r="487" spans="5:7" ht="15.75" customHeight="1">
      <c r="E487" s="20"/>
      <c r="F487" s="20"/>
      <c r="G487" s="20"/>
    </row>
    <row r="488" spans="5:7" ht="15.75" customHeight="1">
      <c r="E488" s="20"/>
      <c r="F488" s="20"/>
      <c r="G488" s="20"/>
    </row>
    <row r="489" spans="5:7" ht="15.75" customHeight="1">
      <c r="E489" s="20"/>
      <c r="F489" s="20"/>
      <c r="G489" s="20"/>
    </row>
    <row r="490" spans="5:7" ht="15.75" customHeight="1">
      <c r="E490" s="20"/>
      <c r="F490" s="20"/>
      <c r="G490" s="20"/>
    </row>
    <row r="491" spans="5:7" ht="15.75" customHeight="1">
      <c r="E491" s="20"/>
      <c r="F491" s="20"/>
      <c r="G491" s="20"/>
    </row>
    <row r="492" spans="5:7" ht="15.75" customHeight="1">
      <c r="E492" s="20"/>
      <c r="F492" s="20"/>
      <c r="G492" s="20"/>
    </row>
    <row r="493" spans="5:7" ht="15.75" customHeight="1">
      <c r="E493" s="20"/>
      <c r="F493" s="20"/>
      <c r="G493" s="20"/>
    </row>
    <row r="494" spans="5:7" ht="15.75" customHeight="1">
      <c r="E494" s="20"/>
      <c r="F494" s="20"/>
      <c r="G494" s="20"/>
    </row>
    <row r="495" spans="5:7" ht="15.75" customHeight="1">
      <c r="E495" s="20"/>
      <c r="F495" s="20"/>
      <c r="G495" s="20"/>
    </row>
    <row r="496" spans="5:7" ht="15.75" customHeight="1">
      <c r="E496" s="20"/>
      <c r="F496" s="20"/>
      <c r="G496" s="20"/>
    </row>
    <row r="497" spans="5:7" ht="15.75" customHeight="1">
      <c r="E497" s="20"/>
      <c r="F497" s="20"/>
      <c r="G497" s="20"/>
    </row>
    <row r="498" spans="5:7" ht="15.75" customHeight="1">
      <c r="E498" s="20"/>
      <c r="F498" s="20"/>
      <c r="G498" s="20"/>
    </row>
    <row r="499" spans="5:7" ht="15.75" customHeight="1">
      <c r="E499" s="20"/>
      <c r="F499" s="20"/>
      <c r="G499" s="20"/>
    </row>
    <row r="500" spans="5:7" ht="15.75" customHeight="1">
      <c r="E500" s="20"/>
      <c r="F500" s="20"/>
      <c r="G500" s="20"/>
    </row>
    <row r="501" spans="5:7" ht="15.75" customHeight="1">
      <c r="E501" s="20"/>
      <c r="F501" s="20"/>
      <c r="G501" s="20"/>
    </row>
    <row r="502" spans="5:7" ht="15.75" customHeight="1">
      <c r="E502" s="20"/>
      <c r="F502" s="20"/>
      <c r="G502" s="20"/>
    </row>
    <row r="503" spans="5:7" ht="15.75" customHeight="1">
      <c r="E503" s="20"/>
      <c r="F503" s="20"/>
      <c r="G503" s="20"/>
    </row>
    <row r="504" spans="5:7" ht="15.75" customHeight="1">
      <c r="E504" s="20"/>
      <c r="F504" s="20"/>
      <c r="G504" s="20"/>
    </row>
    <row r="505" spans="5:7" ht="15.75" customHeight="1">
      <c r="E505" s="20"/>
      <c r="F505" s="20"/>
      <c r="G505" s="20"/>
    </row>
    <row r="506" spans="5:7" ht="15.75" customHeight="1">
      <c r="E506" s="20"/>
      <c r="F506" s="20"/>
      <c r="G506" s="20"/>
    </row>
    <row r="507" spans="5:7" ht="15.75" customHeight="1">
      <c r="E507" s="20"/>
      <c r="F507" s="20"/>
      <c r="G507" s="20"/>
    </row>
    <row r="508" spans="5:7" ht="15.75" customHeight="1">
      <c r="E508" s="20"/>
      <c r="F508" s="20"/>
      <c r="G508" s="20"/>
    </row>
    <row r="509" spans="5:7" ht="15.75" customHeight="1">
      <c r="E509" s="20"/>
      <c r="F509" s="20"/>
      <c r="G509" s="20"/>
    </row>
    <row r="510" spans="5:7" ht="15.75" customHeight="1">
      <c r="E510" s="20"/>
      <c r="F510" s="20"/>
      <c r="G510" s="20"/>
    </row>
    <row r="511" spans="5:7" ht="15.75" customHeight="1">
      <c r="E511" s="20"/>
      <c r="F511" s="20"/>
      <c r="G511" s="20"/>
    </row>
    <row r="512" spans="5:7" ht="15.75" customHeight="1">
      <c r="E512" s="20"/>
      <c r="F512" s="20"/>
      <c r="G512" s="20"/>
    </row>
    <row r="513" spans="5:7" ht="15.75" customHeight="1">
      <c r="E513" s="20"/>
      <c r="F513" s="20"/>
      <c r="G513" s="20"/>
    </row>
    <row r="514" spans="5:7" ht="15.75" customHeight="1">
      <c r="E514" s="20"/>
      <c r="F514" s="20"/>
      <c r="G514" s="20"/>
    </row>
    <row r="515" spans="5:7" ht="15.75" customHeight="1">
      <c r="E515" s="20"/>
      <c r="F515" s="20"/>
      <c r="G515" s="20"/>
    </row>
    <row r="516" spans="5:7" ht="15.75" customHeight="1">
      <c r="E516" s="20"/>
      <c r="F516" s="20"/>
      <c r="G516" s="20"/>
    </row>
    <row r="517" spans="5:7" ht="15.75" customHeight="1">
      <c r="E517" s="20"/>
      <c r="F517" s="20"/>
      <c r="G517" s="20"/>
    </row>
    <row r="518" spans="5:7" ht="15.75" customHeight="1">
      <c r="E518" s="20"/>
      <c r="F518" s="20"/>
      <c r="G518" s="20"/>
    </row>
    <row r="519" spans="5:7" ht="15.75" customHeight="1">
      <c r="E519" s="20"/>
      <c r="F519" s="20"/>
      <c r="G519" s="20"/>
    </row>
    <row r="520" spans="5:7" ht="15.75" customHeight="1">
      <c r="E520" s="20"/>
      <c r="F520" s="20"/>
      <c r="G520" s="20"/>
    </row>
    <row r="521" spans="5:7" ht="15.75" customHeight="1">
      <c r="E521" s="20"/>
      <c r="F521" s="20"/>
      <c r="G521" s="20"/>
    </row>
    <row r="522" spans="5:7" ht="15.75" customHeight="1">
      <c r="E522" s="20"/>
      <c r="F522" s="20"/>
      <c r="G522" s="20"/>
    </row>
    <row r="523" spans="5:7" ht="15.75" customHeight="1">
      <c r="E523" s="20"/>
      <c r="F523" s="20"/>
      <c r="G523" s="20"/>
    </row>
    <row r="524" spans="5:7" ht="15.75" customHeight="1">
      <c r="E524" s="20"/>
      <c r="F524" s="20"/>
      <c r="G524" s="20"/>
    </row>
    <row r="525" spans="5:7" ht="15.75" customHeight="1">
      <c r="E525" s="20"/>
      <c r="F525" s="20"/>
      <c r="G525" s="20"/>
    </row>
    <row r="526" spans="5:7" ht="15.75" customHeight="1">
      <c r="E526" s="20"/>
      <c r="F526" s="20"/>
      <c r="G526" s="20"/>
    </row>
    <row r="527" spans="5:7" ht="15.75" customHeight="1">
      <c r="E527" s="20"/>
      <c r="F527" s="20"/>
      <c r="G527" s="20"/>
    </row>
    <row r="528" spans="5:7" ht="15.75" customHeight="1">
      <c r="E528" s="20"/>
      <c r="F528" s="20"/>
      <c r="G528" s="20"/>
    </row>
    <row r="529" spans="5:7" ht="15.75" customHeight="1">
      <c r="E529" s="20"/>
      <c r="F529" s="20"/>
      <c r="G529" s="20"/>
    </row>
    <row r="530" spans="5:7" ht="15.75" customHeight="1">
      <c r="E530" s="20"/>
      <c r="F530" s="20"/>
      <c r="G530" s="20"/>
    </row>
    <row r="531" spans="5:7" ht="15.75" customHeight="1">
      <c r="E531" s="20"/>
      <c r="F531" s="20"/>
      <c r="G531" s="20"/>
    </row>
    <row r="532" spans="5:7" ht="15.75" customHeight="1">
      <c r="E532" s="20"/>
      <c r="F532" s="20"/>
      <c r="G532" s="20"/>
    </row>
    <row r="533" spans="5:7" ht="15.75" customHeight="1">
      <c r="E533" s="20"/>
      <c r="F533" s="20"/>
      <c r="G533" s="20"/>
    </row>
    <row r="534" spans="5:7" ht="15.75" customHeight="1">
      <c r="E534" s="20"/>
      <c r="F534" s="20"/>
      <c r="G534" s="20"/>
    </row>
    <row r="535" spans="5:7" ht="15.75" customHeight="1">
      <c r="E535" s="20"/>
      <c r="F535" s="20"/>
      <c r="G535" s="20"/>
    </row>
    <row r="536" spans="5:7" ht="15.75" customHeight="1">
      <c r="E536" s="20"/>
      <c r="F536" s="20"/>
      <c r="G536" s="20"/>
    </row>
    <row r="537" spans="5:7" ht="15.75" customHeight="1">
      <c r="E537" s="20"/>
      <c r="F537" s="20"/>
      <c r="G537" s="20"/>
    </row>
    <row r="538" spans="5:7" ht="15.75" customHeight="1">
      <c r="E538" s="20"/>
      <c r="F538" s="20"/>
      <c r="G538" s="20"/>
    </row>
    <row r="539" spans="5:7" ht="15.75" customHeight="1">
      <c r="E539" s="20"/>
      <c r="F539" s="20"/>
      <c r="G539" s="20"/>
    </row>
    <row r="540" spans="5:7" ht="15.75" customHeight="1">
      <c r="E540" s="20"/>
      <c r="F540" s="20"/>
      <c r="G540" s="20"/>
    </row>
    <row r="541" spans="5:7" ht="15.75" customHeight="1">
      <c r="E541" s="20"/>
      <c r="F541" s="20"/>
      <c r="G541" s="20"/>
    </row>
    <row r="542" spans="5:7" ht="15.75" customHeight="1">
      <c r="E542" s="20"/>
      <c r="F542" s="20"/>
      <c r="G542" s="20"/>
    </row>
    <row r="543" spans="5:7" ht="15.75" customHeight="1">
      <c r="E543" s="20"/>
      <c r="F543" s="20"/>
      <c r="G543" s="20"/>
    </row>
    <row r="544" spans="5:7" ht="15.75" customHeight="1">
      <c r="E544" s="20"/>
      <c r="F544" s="20"/>
      <c r="G544" s="20"/>
    </row>
    <row r="545" spans="5:7" ht="15.75" customHeight="1">
      <c r="E545" s="20"/>
      <c r="F545" s="20"/>
      <c r="G545" s="20"/>
    </row>
    <row r="546" spans="5:7" ht="15.75" customHeight="1">
      <c r="E546" s="20"/>
      <c r="F546" s="20"/>
      <c r="G546" s="20"/>
    </row>
    <row r="547" spans="5:7" ht="15.75" customHeight="1">
      <c r="E547" s="20"/>
      <c r="F547" s="20"/>
      <c r="G547" s="20"/>
    </row>
    <row r="548" spans="5:7" ht="15.75" customHeight="1">
      <c r="E548" s="20"/>
      <c r="F548" s="20"/>
      <c r="G548" s="20"/>
    </row>
    <row r="549" spans="5:7" ht="15.75" customHeight="1">
      <c r="E549" s="20"/>
      <c r="F549" s="20"/>
      <c r="G549" s="20"/>
    </row>
    <row r="550" spans="5:7" ht="15.75" customHeight="1">
      <c r="E550" s="20"/>
      <c r="F550" s="20"/>
      <c r="G550" s="20"/>
    </row>
    <row r="551" spans="5:7" ht="15.75" customHeight="1">
      <c r="E551" s="20"/>
      <c r="F551" s="20"/>
      <c r="G551" s="20"/>
    </row>
    <row r="552" spans="5:7" ht="15.75" customHeight="1">
      <c r="E552" s="20"/>
      <c r="F552" s="20"/>
      <c r="G552" s="20"/>
    </row>
    <row r="553" spans="5:7" ht="15.75" customHeight="1">
      <c r="E553" s="20"/>
      <c r="F553" s="20"/>
      <c r="G553" s="20"/>
    </row>
    <row r="554" spans="5:7" ht="15.75" customHeight="1">
      <c r="E554" s="20"/>
      <c r="F554" s="20"/>
      <c r="G554" s="20"/>
    </row>
    <row r="555" spans="5:7" ht="15.75" customHeight="1">
      <c r="E555" s="20"/>
      <c r="F555" s="20"/>
      <c r="G555" s="20"/>
    </row>
    <row r="556" spans="5:7" ht="15.75" customHeight="1">
      <c r="E556" s="20"/>
      <c r="F556" s="20"/>
      <c r="G556" s="20"/>
    </row>
    <row r="557" spans="5:7" ht="15.75" customHeight="1">
      <c r="E557" s="20"/>
      <c r="F557" s="20"/>
      <c r="G557" s="20"/>
    </row>
    <row r="558" spans="5:7" ht="15.75" customHeight="1">
      <c r="E558" s="20"/>
      <c r="F558" s="20"/>
      <c r="G558" s="20"/>
    </row>
    <row r="559" spans="5:7" ht="15.75" customHeight="1">
      <c r="E559" s="20"/>
      <c r="F559" s="20"/>
      <c r="G559" s="20"/>
    </row>
    <row r="560" spans="5:7" ht="15.75" customHeight="1">
      <c r="E560" s="20"/>
      <c r="F560" s="20"/>
      <c r="G560" s="20"/>
    </row>
    <row r="561" spans="5:7" ht="15.75" customHeight="1">
      <c r="E561" s="20"/>
      <c r="F561" s="20"/>
      <c r="G561" s="20"/>
    </row>
    <row r="562" spans="5:7" ht="15.75" customHeight="1">
      <c r="E562" s="20"/>
      <c r="F562" s="20"/>
      <c r="G562" s="20"/>
    </row>
    <row r="563" spans="5:7" ht="15.75" customHeight="1">
      <c r="E563" s="20"/>
      <c r="F563" s="20"/>
      <c r="G563" s="20"/>
    </row>
    <row r="564" spans="5:7" ht="15.75" customHeight="1">
      <c r="E564" s="20"/>
      <c r="F564" s="20"/>
      <c r="G564" s="20"/>
    </row>
    <row r="565" spans="5:7" ht="15.75" customHeight="1">
      <c r="E565" s="20"/>
      <c r="F565" s="20"/>
      <c r="G565" s="20"/>
    </row>
    <row r="566" spans="5:7" ht="15.75" customHeight="1">
      <c r="E566" s="20"/>
      <c r="F566" s="20"/>
      <c r="G566" s="20"/>
    </row>
    <row r="567" spans="5:7" ht="15.75" customHeight="1">
      <c r="E567" s="20"/>
      <c r="F567" s="20"/>
      <c r="G567" s="20"/>
    </row>
    <row r="568" spans="5:7" ht="15.75" customHeight="1">
      <c r="E568" s="20"/>
      <c r="F568" s="20"/>
      <c r="G568" s="20"/>
    </row>
    <row r="569" spans="5:7" ht="15.75" customHeight="1">
      <c r="E569" s="20"/>
      <c r="F569" s="20"/>
      <c r="G569" s="20"/>
    </row>
    <row r="570" spans="5:7" ht="15.75" customHeight="1">
      <c r="E570" s="20"/>
      <c r="F570" s="20"/>
      <c r="G570" s="20"/>
    </row>
    <row r="571" spans="5:7" ht="15.75" customHeight="1">
      <c r="E571" s="20"/>
      <c r="F571" s="20"/>
      <c r="G571" s="20"/>
    </row>
    <row r="572" spans="5:7" ht="15.75" customHeight="1">
      <c r="E572" s="20"/>
      <c r="F572" s="20"/>
      <c r="G572" s="20"/>
    </row>
    <row r="573" spans="5:7" ht="15.75" customHeight="1">
      <c r="E573" s="20"/>
      <c r="F573" s="20"/>
      <c r="G573" s="20"/>
    </row>
    <row r="574" spans="5:7" ht="15.75" customHeight="1">
      <c r="E574" s="20"/>
      <c r="F574" s="20"/>
      <c r="G574" s="20"/>
    </row>
    <row r="575" spans="5:7" ht="15.75" customHeight="1">
      <c r="E575" s="20"/>
      <c r="F575" s="20"/>
      <c r="G575" s="20"/>
    </row>
    <row r="576" spans="5:7" ht="15.75" customHeight="1">
      <c r="E576" s="20"/>
      <c r="F576" s="20"/>
      <c r="G576" s="20"/>
    </row>
    <row r="577" spans="5:7" ht="15.75" customHeight="1">
      <c r="E577" s="20"/>
      <c r="F577" s="20"/>
      <c r="G577" s="20"/>
    </row>
    <row r="578" spans="5:7" ht="15.75" customHeight="1">
      <c r="E578" s="20"/>
      <c r="F578" s="20"/>
      <c r="G578" s="20"/>
    </row>
    <row r="579" spans="5:7" ht="15.75" customHeight="1">
      <c r="E579" s="20"/>
      <c r="F579" s="20"/>
      <c r="G579" s="20"/>
    </row>
    <row r="580" spans="5:7" ht="15.75" customHeight="1">
      <c r="E580" s="20"/>
      <c r="F580" s="20"/>
      <c r="G580" s="20"/>
    </row>
    <row r="581" spans="5:7" ht="15.75" customHeight="1">
      <c r="E581" s="20"/>
      <c r="F581" s="20"/>
      <c r="G581" s="20"/>
    </row>
    <row r="582" spans="5:7" ht="15.75" customHeight="1">
      <c r="E582" s="20"/>
      <c r="F582" s="20"/>
      <c r="G582" s="20"/>
    </row>
    <row r="583" spans="5:7" ht="15.75" customHeight="1">
      <c r="E583" s="20"/>
      <c r="F583" s="20"/>
      <c r="G583" s="20"/>
    </row>
    <row r="584" spans="5:7" ht="15.75" customHeight="1">
      <c r="E584" s="20"/>
      <c r="F584" s="20"/>
      <c r="G584" s="20"/>
    </row>
    <row r="585" spans="5:7" ht="15.75" customHeight="1">
      <c r="E585" s="20"/>
      <c r="F585" s="20"/>
      <c r="G585" s="20"/>
    </row>
    <row r="586" spans="5:7" ht="15.75" customHeight="1">
      <c r="E586" s="20"/>
      <c r="F586" s="20"/>
      <c r="G586" s="20"/>
    </row>
    <row r="587" spans="5:7" ht="15.75" customHeight="1">
      <c r="E587" s="20"/>
      <c r="F587" s="20"/>
      <c r="G587" s="20"/>
    </row>
    <row r="588" spans="5:7" ht="15.75" customHeight="1">
      <c r="E588" s="20"/>
      <c r="F588" s="20"/>
      <c r="G588" s="20"/>
    </row>
    <row r="589" spans="5:7" ht="15.75" customHeight="1">
      <c r="E589" s="20"/>
      <c r="F589" s="20"/>
      <c r="G589" s="20"/>
    </row>
    <row r="590" spans="5:7" ht="15.75" customHeight="1">
      <c r="E590" s="20"/>
      <c r="F590" s="20"/>
      <c r="G590" s="20"/>
    </row>
    <row r="591" spans="5:7" ht="15.75" customHeight="1">
      <c r="E591" s="20"/>
      <c r="F591" s="20"/>
      <c r="G591" s="20"/>
    </row>
    <row r="592" spans="5:7" ht="15.75" customHeight="1">
      <c r="E592" s="20"/>
      <c r="F592" s="20"/>
      <c r="G592" s="20"/>
    </row>
    <row r="593" spans="5:7" ht="15.75" customHeight="1">
      <c r="E593" s="20"/>
      <c r="F593" s="20"/>
      <c r="G593" s="20"/>
    </row>
    <row r="594" spans="5:7" ht="15.75" customHeight="1">
      <c r="E594" s="20"/>
      <c r="F594" s="20"/>
      <c r="G594" s="20"/>
    </row>
    <row r="595" spans="5:7" ht="15.75" customHeight="1">
      <c r="E595" s="20"/>
      <c r="F595" s="20"/>
      <c r="G595" s="20"/>
    </row>
    <row r="596" spans="5:7" ht="15.75" customHeight="1">
      <c r="E596" s="20"/>
      <c r="F596" s="20"/>
      <c r="G596" s="20"/>
    </row>
    <row r="597" spans="5:7" ht="15.75" customHeight="1">
      <c r="E597" s="20"/>
      <c r="F597" s="20"/>
      <c r="G597" s="20"/>
    </row>
    <row r="598" spans="5:7" ht="15.75" customHeight="1">
      <c r="E598" s="20"/>
      <c r="F598" s="20"/>
      <c r="G598" s="20"/>
    </row>
    <row r="599" spans="5:7" ht="15.75" customHeight="1">
      <c r="E599" s="20"/>
      <c r="F599" s="20"/>
      <c r="G599" s="20"/>
    </row>
    <row r="600" spans="5:7" ht="15.75" customHeight="1">
      <c r="E600" s="20"/>
      <c r="F600" s="20"/>
      <c r="G600" s="20"/>
    </row>
    <row r="601" spans="5:7" ht="15.75" customHeight="1">
      <c r="E601" s="20"/>
      <c r="F601" s="20"/>
      <c r="G601" s="20"/>
    </row>
    <row r="602" spans="5:7" ht="15.75" customHeight="1">
      <c r="E602" s="20"/>
      <c r="F602" s="20"/>
      <c r="G602" s="20"/>
    </row>
    <row r="603" spans="5:7" ht="15.75" customHeight="1">
      <c r="E603" s="20"/>
      <c r="F603" s="20"/>
      <c r="G603" s="20"/>
    </row>
    <row r="604" spans="5:7" ht="15.75" customHeight="1">
      <c r="E604" s="20"/>
      <c r="F604" s="20"/>
      <c r="G604" s="20"/>
    </row>
    <row r="605" spans="5:7" ht="15.75" customHeight="1">
      <c r="E605" s="20"/>
      <c r="F605" s="20"/>
      <c r="G605" s="20"/>
    </row>
    <row r="606" spans="5:7" ht="15.75" customHeight="1">
      <c r="E606" s="20"/>
      <c r="F606" s="20"/>
      <c r="G606" s="20"/>
    </row>
    <row r="607" spans="5:7" ht="15.75" customHeight="1">
      <c r="E607" s="20"/>
      <c r="F607" s="20"/>
      <c r="G607" s="20"/>
    </row>
    <row r="608" spans="5:7" ht="15.75" customHeight="1">
      <c r="E608" s="20"/>
      <c r="F608" s="20"/>
      <c r="G608" s="20"/>
    </row>
    <row r="609" spans="5:7" ht="15.75" customHeight="1">
      <c r="E609" s="20"/>
      <c r="F609" s="20"/>
      <c r="G609" s="20"/>
    </row>
    <row r="610" spans="5:7" ht="15.75" customHeight="1">
      <c r="E610" s="20"/>
      <c r="F610" s="20"/>
      <c r="G610" s="20"/>
    </row>
    <row r="611" spans="5:7" ht="15.75" customHeight="1">
      <c r="E611" s="20"/>
      <c r="F611" s="20"/>
      <c r="G611" s="20"/>
    </row>
    <row r="612" spans="5:7" ht="15.75" customHeight="1">
      <c r="E612" s="20"/>
      <c r="F612" s="20"/>
      <c r="G612" s="20"/>
    </row>
    <row r="613" spans="5:7" ht="15.75" customHeight="1">
      <c r="E613" s="20"/>
      <c r="F613" s="20"/>
      <c r="G613" s="20"/>
    </row>
    <row r="614" spans="5:7" ht="15.75" customHeight="1">
      <c r="E614" s="20"/>
      <c r="F614" s="20"/>
      <c r="G614" s="20"/>
    </row>
    <row r="615" spans="5:7" ht="15.75" customHeight="1">
      <c r="E615" s="20"/>
      <c r="F615" s="20"/>
      <c r="G615" s="20"/>
    </row>
    <row r="616" spans="5:7" ht="15.75" customHeight="1">
      <c r="E616" s="20"/>
      <c r="F616" s="20"/>
      <c r="G616" s="20"/>
    </row>
    <row r="617" spans="5:7" ht="15.75" customHeight="1">
      <c r="E617" s="20"/>
      <c r="F617" s="20"/>
      <c r="G617" s="20"/>
    </row>
    <row r="618" spans="5:7" ht="15.75" customHeight="1">
      <c r="E618" s="20"/>
      <c r="F618" s="20"/>
      <c r="G618" s="20"/>
    </row>
    <row r="619" spans="5:7" ht="15.75" customHeight="1">
      <c r="E619" s="20"/>
      <c r="F619" s="20"/>
      <c r="G619" s="20"/>
    </row>
    <row r="620" spans="5:7" ht="15.75" customHeight="1">
      <c r="E620" s="20"/>
      <c r="F620" s="20"/>
      <c r="G620" s="20"/>
    </row>
    <row r="621" spans="5:7" ht="15.75" customHeight="1">
      <c r="E621" s="20"/>
      <c r="F621" s="20"/>
      <c r="G621" s="20"/>
    </row>
    <row r="622" spans="5:7" ht="15.75" customHeight="1">
      <c r="E622" s="20"/>
      <c r="F622" s="20"/>
      <c r="G622" s="20"/>
    </row>
    <row r="623" spans="5:7" ht="15.75" customHeight="1">
      <c r="E623" s="20"/>
      <c r="F623" s="20"/>
      <c r="G623" s="20"/>
    </row>
    <row r="624" spans="5:7" ht="15.75" customHeight="1">
      <c r="E624" s="20"/>
      <c r="F624" s="20"/>
      <c r="G624" s="20"/>
    </row>
    <row r="625" spans="5:7" ht="15.75" customHeight="1">
      <c r="E625" s="20"/>
      <c r="F625" s="20"/>
      <c r="G625" s="20"/>
    </row>
    <row r="626" spans="5:7" ht="15.75" customHeight="1">
      <c r="E626" s="20"/>
      <c r="F626" s="20"/>
      <c r="G626" s="20"/>
    </row>
    <row r="627" spans="5:7" ht="15.75" customHeight="1">
      <c r="E627" s="20"/>
      <c r="F627" s="20"/>
      <c r="G627" s="20"/>
    </row>
    <row r="628" spans="5:7" ht="15.75" customHeight="1">
      <c r="E628" s="20"/>
      <c r="F628" s="20"/>
      <c r="G628" s="20"/>
    </row>
    <row r="629" spans="5:7" ht="15.75" customHeight="1">
      <c r="E629" s="20"/>
      <c r="F629" s="20"/>
      <c r="G629" s="20"/>
    </row>
    <row r="630" spans="5:7" ht="15.75" customHeight="1">
      <c r="E630" s="20"/>
      <c r="F630" s="20"/>
      <c r="G630" s="20"/>
    </row>
    <row r="631" spans="5:7" ht="15.75" customHeight="1">
      <c r="E631" s="20"/>
      <c r="F631" s="20"/>
      <c r="G631" s="20"/>
    </row>
    <row r="632" spans="5:7" ht="15.75" customHeight="1">
      <c r="E632" s="20"/>
      <c r="F632" s="20"/>
      <c r="G632" s="20"/>
    </row>
    <row r="633" spans="5:7" ht="15.75" customHeight="1">
      <c r="E633" s="20"/>
      <c r="F633" s="20"/>
      <c r="G633" s="20"/>
    </row>
    <row r="634" spans="5:7" ht="15.75" customHeight="1">
      <c r="E634" s="20"/>
      <c r="F634" s="20"/>
      <c r="G634" s="20"/>
    </row>
    <row r="635" spans="5:7" ht="15.75" customHeight="1">
      <c r="E635" s="20"/>
      <c r="F635" s="20"/>
      <c r="G635" s="20"/>
    </row>
    <row r="636" spans="5:7" ht="15.75" customHeight="1">
      <c r="E636" s="20"/>
      <c r="F636" s="20"/>
      <c r="G636" s="20"/>
    </row>
    <row r="637" spans="5:7" ht="15.75" customHeight="1">
      <c r="E637" s="20"/>
      <c r="F637" s="20"/>
      <c r="G637" s="20"/>
    </row>
    <row r="638" spans="5:7" ht="15.75" customHeight="1">
      <c r="E638" s="20"/>
      <c r="F638" s="20"/>
      <c r="G638" s="20"/>
    </row>
    <row r="639" spans="5:7" ht="15.75" customHeight="1">
      <c r="E639" s="20"/>
      <c r="F639" s="20"/>
      <c r="G639" s="20"/>
    </row>
    <row r="640" spans="5:7" ht="15.75" customHeight="1">
      <c r="E640" s="20"/>
      <c r="F640" s="20"/>
      <c r="G640" s="20"/>
    </row>
    <row r="641" spans="5:7" ht="15.75" customHeight="1">
      <c r="E641" s="20"/>
      <c r="F641" s="20"/>
      <c r="G641" s="20"/>
    </row>
    <row r="642" spans="5:7" ht="15.75" customHeight="1">
      <c r="E642" s="20"/>
      <c r="F642" s="20"/>
      <c r="G642" s="20"/>
    </row>
    <row r="643" spans="5:7" ht="15.75" customHeight="1">
      <c r="E643" s="20"/>
      <c r="F643" s="20"/>
      <c r="G643" s="20"/>
    </row>
    <row r="644" spans="5:7" ht="15.75" customHeight="1">
      <c r="E644" s="20"/>
      <c r="F644" s="20"/>
      <c r="G644" s="20"/>
    </row>
    <row r="645" spans="5:7" ht="15.75" customHeight="1">
      <c r="E645" s="20"/>
      <c r="F645" s="20"/>
      <c r="G645" s="20"/>
    </row>
    <row r="646" spans="5:7" ht="15.75" customHeight="1">
      <c r="E646" s="20"/>
      <c r="F646" s="20"/>
      <c r="G646" s="20"/>
    </row>
    <row r="647" spans="5:7" ht="15.75" customHeight="1">
      <c r="E647" s="20"/>
      <c r="F647" s="20"/>
      <c r="G647" s="20"/>
    </row>
    <row r="648" spans="5:7" ht="15.75" customHeight="1">
      <c r="E648" s="20"/>
      <c r="F648" s="20"/>
      <c r="G648" s="20"/>
    </row>
    <row r="649" spans="5:7" ht="15.75" customHeight="1">
      <c r="E649" s="20"/>
      <c r="F649" s="20"/>
      <c r="G649" s="20"/>
    </row>
    <row r="650" spans="5:7" ht="15.75" customHeight="1">
      <c r="E650" s="20"/>
      <c r="F650" s="20"/>
      <c r="G650" s="20"/>
    </row>
    <row r="651" spans="5:7" ht="15.75" customHeight="1">
      <c r="E651" s="20"/>
      <c r="F651" s="20"/>
      <c r="G651" s="20"/>
    </row>
    <row r="652" spans="5:7" ht="15.75" customHeight="1">
      <c r="E652" s="20"/>
      <c r="F652" s="20"/>
      <c r="G652" s="20"/>
    </row>
    <row r="653" spans="5:7" ht="15.75" customHeight="1">
      <c r="E653" s="20"/>
      <c r="F653" s="20"/>
      <c r="G653" s="20"/>
    </row>
    <row r="654" spans="5:7" ht="15.75" customHeight="1">
      <c r="E654" s="20"/>
      <c r="F654" s="20"/>
      <c r="G654" s="20"/>
    </row>
    <row r="655" spans="5:7" ht="15.75" customHeight="1">
      <c r="E655" s="20"/>
      <c r="F655" s="20"/>
      <c r="G655" s="20"/>
    </row>
    <row r="656" spans="5:7" ht="15.75" customHeight="1">
      <c r="E656" s="20"/>
      <c r="F656" s="20"/>
      <c r="G656" s="20"/>
    </row>
    <row r="657" spans="5:7" ht="15.75" customHeight="1">
      <c r="E657" s="20"/>
      <c r="F657" s="20"/>
      <c r="G657" s="20"/>
    </row>
    <row r="658" spans="5:7" ht="15.75" customHeight="1">
      <c r="E658" s="20"/>
      <c r="F658" s="20"/>
      <c r="G658" s="20"/>
    </row>
    <row r="659" spans="5:7" ht="15.75" customHeight="1">
      <c r="E659" s="20"/>
      <c r="F659" s="20"/>
      <c r="G659" s="20"/>
    </row>
    <row r="660" spans="5:7" ht="15.75" customHeight="1">
      <c r="E660" s="20"/>
      <c r="F660" s="20"/>
      <c r="G660" s="20"/>
    </row>
    <row r="661" spans="5:7" ht="15.75" customHeight="1">
      <c r="E661" s="20"/>
      <c r="F661" s="20"/>
      <c r="G661" s="20"/>
    </row>
    <row r="662" spans="5:7" ht="15.75" customHeight="1">
      <c r="E662" s="20"/>
      <c r="F662" s="20"/>
      <c r="G662" s="20"/>
    </row>
    <row r="663" spans="5:7" ht="15.75" customHeight="1">
      <c r="E663" s="20"/>
      <c r="F663" s="20"/>
      <c r="G663" s="20"/>
    </row>
    <row r="664" spans="5:7" ht="15.75" customHeight="1">
      <c r="E664" s="20"/>
      <c r="F664" s="20"/>
      <c r="G664" s="20"/>
    </row>
    <row r="665" spans="5:7" ht="15.75" customHeight="1">
      <c r="E665" s="20"/>
      <c r="F665" s="20"/>
      <c r="G665" s="20"/>
    </row>
    <row r="666" spans="5:7" ht="15.75" customHeight="1">
      <c r="E666" s="20"/>
      <c r="F666" s="20"/>
      <c r="G666" s="20"/>
    </row>
    <row r="667" spans="5:7" ht="15.75" customHeight="1">
      <c r="E667" s="20"/>
      <c r="F667" s="20"/>
      <c r="G667" s="20"/>
    </row>
    <row r="668" spans="5:7" ht="15.75" customHeight="1">
      <c r="E668" s="20"/>
      <c r="F668" s="20"/>
      <c r="G668" s="20"/>
    </row>
    <row r="669" spans="5:7" ht="15.75" customHeight="1">
      <c r="E669" s="20"/>
      <c r="F669" s="20"/>
      <c r="G669" s="20"/>
    </row>
    <row r="670" spans="5:7" ht="15.75" customHeight="1">
      <c r="E670" s="20"/>
      <c r="F670" s="20"/>
      <c r="G670" s="20"/>
    </row>
    <row r="671" spans="5:7" ht="15.75" customHeight="1">
      <c r="E671" s="20"/>
      <c r="F671" s="20"/>
      <c r="G671" s="20"/>
    </row>
    <row r="672" spans="5:7" ht="15.75" customHeight="1">
      <c r="E672" s="20"/>
      <c r="F672" s="20"/>
      <c r="G672" s="20"/>
    </row>
    <row r="673" spans="5:7" ht="15.75" customHeight="1">
      <c r="E673" s="20"/>
      <c r="F673" s="20"/>
      <c r="G673" s="20"/>
    </row>
    <row r="674" spans="5:7" ht="15.75" customHeight="1">
      <c r="E674" s="20"/>
      <c r="F674" s="20"/>
      <c r="G674" s="20"/>
    </row>
    <row r="675" spans="5:7" ht="15.75" customHeight="1">
      <c r="E675" s="20"/>
      <c r="F675" s="20"/>
      <c r="G675" s="20"/>
    </row>
    <row r="676" spans="5:7" ht="15.75" customHeight="1">
      <c r="E676" s="20"/>
      <c r="F676" s="20"/>
      <c r="G676" s="20"/>
    </row>
    <row r="677" spans="5:7" ht="15.75" customHeight="1">
      <c r="E677" s="20"/>
      <c r="F677" s="20"/>
      <c r="G677" s="20"/>
    </row>
    <row r="678" spans="5:7" ht="15.75" customHeight="1">
      <c r="E678" s="20"/>
      <c r="F678" s="20"/>
      <c r="G678" s="20"/>
    </row>
    <row r="679" spans="5:7" ht="15.75" customHeight="1">
      <c r="E679" s="20"/>
      <c r="F679" s="20"/>
      <c r="G679" s="20"/>
    </row>
    <row r="680" spans="5:7" ht="15.75" customHeight="1">
      <c r="E680" s="20"/>
      <c r="F680" s="20"/>
      <c r="G680" s="20"/>
    </row>
    <row r="681" spans="5:7" ht="15.75" customHeight="1">
      <c r="E681" s="20"/>
      <c r="F681" s="20"/>
      <c r="G681" s="20"/>
    </row>
    <row r="682" spans="5:7" ht="15.75" customHeight="1">
      <c r="E682" s="20"/>
      <c r="F682" s="20"/>
      <c r="G682" s="20"/>
    </row>
    <row r="683" spans="5:7" ht="15.75" customHeight="1">
      <c r="E683" s="20"/>
      <c r="F683" s="20"/>
      <c r="G683" s="20"/>
    </row>
    <row r="684" spans="5:7" ht="15.75" customHeight="1">
      <c r="E684" s="20"/>
      <c r="F684" s="20"/>
      <c r="G684" s="20"/>
    </row>
    <row r="685" spans="5:7" ht="15.75" customHeight="1">
      <c r="E685" s="20"/>
      <c r="F685" s="20"/>
      <c r="G685" s="20"/>
    </row>
    <row r="686" spans="5:7" ht="15.75" customHeight="1">
      <c r="E686" s="20"/>
      <c r="F686" s="20"/>
      <c r="G686" s="20"/>
    </row>
    <row r="687" spans="5:7" ht="15.75" customHeight="1">
      <c r="E687" s="20"/>
      <c r="F687" s="20"/>
      <c r="G687" s="20"/>
    </row>
    <row r="688" spans="5:7" ht="15.75" customHeight="1">
      <c r="E688" s="20"/>
      <c r="F688" s="20"/>
      <c r="G688" s="20"/>
    </row>
    <row r="689" spans="5:7" ht="15.75" customHeight="1">
      <c r="E689" s="20"/>
      <c r="F689" s="20"/>
      <c r="G689" s="20"/>
    </row>
    <row r="690" spans="5:7" ht="15.75" customHeight="1">
      <c r="E690" s="20"/>
      <c r="F690" s="20"/>
      <c r="G690" s="20"/>
    </row>
    <row r="691" spans="5:7" ht="15.75" customHeight="1">
      <c r="E691" s="20"/>
      <c r="F691" s="20"/>
      <c r="G691" s="20"/>
    </row>
    <row r="692" spans="5:7" ht="15.75" customHeight="1">
      <c r="E692" s="20"/>
      <c r="F692" s="20"/>
      <c r="G692" s="20"/>
    </row>
    <row r="693" spans="5:7" ht="15.75" customHeight="1">
      <c r="E693" s="20"/>
      <c r="F693" s="20"/>
      <c r="G693" s="20"/>
    </row>
    <row r="694" spans="5:7" ht="15.75" customHeight="1">
      <c r="E694" s="20"/>
      <c r="F694" s="20"/>
      <c r="G694" s="20"/>
    </row>
    <row r="695" spans="5:7" ht="15.75" customHeight="1">
      <c r="E695" s="20"/>
      <c r="F695" s="20"/>
      <c r="G695" s="20"/>
    </row>
    <row r="696" spans="5:7" ht="15.75" customHeight="1">
      <c r="E696" s="20"/>
      <c r="F696" s="20"/>
      <c r="G696" s="20"/>
    </row>
    <row r="697" spans="5:7" ht="15.75" customHeight="1">
      <c r="E697" s="20"/>
      <c r="F697" s="20"/>
      <c r="G697" s="20"/>
    </row>
    <row r="698" spans="5:7" ht="15.75" customHeight="1">
      <c r="E698" s="20"/>
      <c r="F698" s="20"/>
      <c r="G698" s="20"/>
    </row>
    <row r="699" spans="5:7" ht="15.75" customHeight="1">
      <c r="E699" s="20"/>
      <c r="F699" s="20"/>
      <c r="G699" s="20"/>
    </row>
    <row r="700" spans="5:7" ht="15.75" customHeight="1">
      <c r="E700" s="20"/>
      <c r="F700" s="20"/>
      <c r="G700" s="20"/>
    </row>
    <row r="701" spans="5:7" ht="15.75" customHeight="1">
      <c r="E701" s="20"/>
      <c r="F701" s="20"/>
      <c r="G701" s="20"/>
    </row>
    <row r="702" spans="5:7" ht="15.75" customHeight="1">
      <c r="E702" s="20"/>
      <c r="F702" s="20"/>
      <c r="G702" s="20"/>
    </row>
    <row r="703" spans="5:7" ht="15.75" customHeight="1">
      <c r="E703" s="20"/>
      <c r="F703" s="20"/>
      <c r="G703" s="20"/>
    </row>
    <row r="704" spans="5:7" ht="15.75" customHeight="1">
      <c r="E704" s="20"/>
      <c r="F704" s="20"/>
      <c r="G704" s="20"/>
    </row>
    <row r="705" spans="5:7" ht="15.75" customHeight="1">
      <c r="E705" s="20"/>
      <c r="F705" s="20"/>
      <c r="G705" s="20"/>
    </row>
    <row r="706" spans="5:7" ht="15.75" customHeight="1">
      <c r="E706" s="20"/>
      <c r="F706" s="20"/>
      <c r="G706" s="20"/>
    </row>
    <row r="707" spans="5:7" ht="15.75" customHeight="1">
      <c r="E707" s="20"/>
      <c r="F707" s="20"/>
      <c r="G707" s="20"/>
    </row>
    <row r="708" spans="5:7" ht="15.75" customHeight="1">
      <c r="E708" s="20"/>
      <c r="F708" s="20"/>
      <c r="G708" s="20"/>
    </row>
    <row r="709" spans="5:7" ht="15.75" customHeight="1">
      <c r="E709" s="20"/>
      <c r="F709" s="20"/>
      <c r="G709" s="20"/>
    </row>
    <row r="710" spans="5:7" ht="15.75" customHeight="1">
      <c r="E710" s="20"/>
      <c r="F710" s="20"/>
      <c r="G710" s="20"/>
    </row>
    <row r="711" spans="5:7" ht="15.75" customHeight="1">
      <c r="E711" s="20"/>
      <c r="F711" s="20"/>
      <c r="G711" s="20"/>
    </row>
    <row r="712" spans="5:7" ht="15.75" customHeight="1">
      <c r="E712" s="20"/>
      <c r="F712" s="20"/>
      <c r="G712" s="20"/>
    </row>
    <row r="713" spans="5:7" ht="15.75" customHeight="1">
      <c r="E713" s="20"/>
      <c r="F713" s="20"/>
      <c r="G713" s="20"/>
    </row>
    <row r="714" spans="5:7" ht="15.75" customHeight="1">
      <c r="E714" s="20"/>
      <c r="F714" s="20"/>
      <c r="G714" s="20"/>
    </row>
    <row r="715" spans="5:7" ht="15.75" customHeight="1">
      <c r="E715" s="20"/>
      <c r="F715" s="20"/>
      <c r="G715" s="20"/>
    </row>
    <row r="716" spans="5:7" ht="15.75" customHeight="1">
      <c r="E716" s="20"/>
      <c r="F716" s="20"/>
      <c r="G716" s="20"/>
    </row>
    <row r="717" spans="5:7" ht="15.75" customHeight="1">
      <c r="E717" s="20"/>
      <c r="F717" s="20"/>
      <c r="G717" s="20"/>
    </row>
    <row r="718" spans="5:7" ht="15.75" customHeight="1">
      <c r="E718" s="20"/>
      <c r="F718" s="20"/>
      <c r="G718" s="20"/>
    </row>
    <row r="719" spans="5:7" ht="15.75" customHeight="1">
      <c r="E719" s="20"/>
      <c r="F719" s="20"/>
      <c r="G719" s="20"/>
    </row>
    <row r="720" spans="5:7" ht="15.75" customHeight="1">
      <c r="E720" s="20"/>
      <c r="F720" s="20"/>
      <c r="G720" s="20"/>
    </row>
    <row r="721" spans="5:7" ht="15.75" customHeight="1">
      <c r="E721" s="20"/>
      <c r="F721" s="20"/>
      <c r="G721" s="20"/>
    </row>
    <row r="722" spans="5:7" ht="15.75" customHeight="1">
      <c r="E722" s="20"/>
      <c r="F722" s="20"/>
      <c r="G722" s="20"/>
    </row>
    <row r="723" spans="5:7" ht="15.75" customHeight="1">
      <c r="E723" s="20"/>
      <c r="F723" s="20"/>
      <c r="G723" s="20"/>
    </row>
    <row r="724" spans="5:7" ht="15.75" customHeight="1">
      <c r="E724" s="20"/>
      <c r="F724" s="20"/>
      <c r="G724" s="20"/>
    </row>
    <row r="725" spans="5:7" ht="15.75" customHeight="1">
      <c r="E725" s="20"/>
      <c r="F725" s="20"/>
      <c r="G725" s="20"/>
    </row>
    <row r="726" spans="5:7" ht="15.75" customHeight="1">
      <c r="E726" s="20"/>
      <c r="F726" s="20"/>
      <c r="G726" s="20"/>
    </row>
    <row r="727" spans="5:7" ht="15.75" customHeight="1">
      <c r="E727" s="20"/>
      <c r="F727" s="20"/>
      <c r="G727" s="20"/>
    </row>
    <row r="728" spans="5:7" ht="15.75" customHeight="1">
      <c r="E728" s="20"/>
      <c r="F728" s="20"/>
      <c r="G728" s="20"/>
    </row>
    <row r="729" spans="5:7" ht="15.75" customHeight="1">
      <c r="E729" s="20"/>
      <c r="F729" s="20"/>
      <c r="G729" s="20"/>
    </row>
    <row r="730" spans="5:7" ht="15.75" customHeight="1">
      <c r="E730" s="20"/>
      <c r="F730" s="20"/>
      <c r="G730" s="20"/>
    </row>
    <row r="731" spans="5:7" ht="15.75" customHeight="1">
      <c r="E731" s="20"/>
      <c r="F731" s="20"/>
      <c r="G731" s="20"/>
    </row>
    <row r="732" spans="5:7" ht="15.75" customHeight="1">
      <c r="E732" s="20"/>
      <c r="F732" s="20"/>
      <c r="G732" s="20"/>
    </row>
    <row r="733" spans="5:7" ht="15.75" customHeight="1">
      <c r="E733" s="20"/>
      <c r="F733" s="20"/>
      <c r="G733" s="20"/>
    </row>
    <row r="734" spans="5:7" ht="15.75" customHeight="1">
      <c r="E734" s="20"/>
      <c r="F734" s="20"/>
      <c r="G734" s="20"/>
    </row>
    <row r="735" spans="5:7" ht="15.75" customHeight="1">
      <c r="E735" s="20"/>
      <c r="F735" s="20"/>
      <c r="G735" s="20"/>
    </row>
    <row r="736" spans="5:7" ht="15.75" customHeight="1">
      <c r="E736" s="20"/>
      <c r="F736" s="20"/>
      <c r="G736" s="20"/>
    </row>
    <row r="737" spans="5:7" ht="15.75" customHeight="1">
      <c r="E737" s="20"/>
      <c r="F737" s="20"/>
      <c r="G737" s="20"/>
    </row>
    <row r="738" spans="5:7" ht="15.75" customHeight="1">
      <c r="E738" s="20"/>
      <c r="F738" s="20"/>
      <c r="G738" s="20"/>
    </row>
    <row r="739" spans="5:7" ht="15.75" customHeight="1">
      <c r="E739" s="20"/>
      <c r="F739" s="20"/>
      <c r="G739" s="20"/>
    </row>
    <row r="740" spans="5:7" ht="15.75" customHeight="1">
      <c r="E740" s="20"/>
      <c r="F740" s="20"/>
      <c r="G740" s="20"/>
    </row>
    <row r="741" spans="5:7" ht="15.75" customHeight="1">
      <c r="E741" s="20"/>
      <c r="F741" s="20"/>
      <c r="G741" s="20"/>
    </row>
    <row r="742" spans="5:7" ht="15.75" customHeight="1">
      <c r="E742" s="20"/>
      <c r="F742" s="20"/>
      <c r="G742" s="20"/>
    </row>
    <row r="743" spans="5:7" ht="15.75" customHeight="1">
      <c r="E743" s="20"/>
      <c r="F743" s="20"/>
      <c r="G743" s="20"/>
    </row>
    <row r="744" spans="5:7" ht="15.75" customHeight="1">
      <c r="E744" s="20"/>
      <c r="F744" s="20"/>
      <c r="G744" s="20"/>
    </row>
    <row r="745" spans="5:7" ht="15.75" customHeight="1">
      <c r="E745" s="20"/>
      <c r="F745" s="20"/>
      <c r="G745" s="20"/>
    </row>
    <row r="746" spans="5:7" ht="15.75" customHeight="1">
      <c r="E746" s="20"/>
      <c r="F746" s="20"/>
      <c r="G746" s="20"/>
    </row>
    <row r="747" spans="5:7" ht="15.75" customHeight="1">
      <c r="E747" s="20"/>
      <c r="F747" s="20"/>
      <c r="G747" s="20"/>
    </row>
    <row r="748" spans="5:7" ht="15.75" customHeight="1">
      <c r="E748" s="20"/>
      <c r="F748" s="20"/>
      <c r="G748" s="20"/>
    </row>
    <row r="749" spans="5:7" ht="15.75" customHeight="1">
      <c r="E749" s="20"/>
      <c r="F749" s="20"/>
      <c r="G749" s="20"/>
    </row>
    <row r="750" spans="5:7" ht="15.75" customHeight="1">
      <c r="E750" s="20"/>
      <c r="F750" s="20"/>
      <c r="G750" s="20"/>
    </row>
    <row r="751" spans="5:7" ht="15.75" customHeight="1">
      <c r="E751" s="20"/>
      <c r="F751" s="20"/>
      <c r="G751" s="20"/>
    </row>
    <row r="752" spans="5:7" ht="15.75" customHeight="1">
      <c r="E752" s="20"/>
      <c r="F752" s="20"/>
      <c r="G752" s="20"/>
    </row>
    <row r="753" spans="5:7" ht="15.75" customHeight="1">
      <c r="E753" s="20"/>
      <c r="F753" s="20"/>
      <c r="G753" s="20"/>
    </row>
    <row r="754" spans="5:7" ht="15.75" customHeight="1">
      <c r="E754" s="20"/>
      <c r="F754" s="20"/>
      <c r="G754" s="20"/>
    </row>
    <row r="755" spans="5:7" ht="15.75" customHeight="1">
      <c r="E755" s="20"/>
      <c r="F755" s="20"/>
      <c r="G755" s="20"/>
    </row>
    <row r="756" spans="5:7" ht="15.75" customHeight="1">
      <c r="E756" s="20"/>
      <c r="F756" s="20"/>
      <c r="G756" s="20"/>
    </row>
    <row r="757" spans="5:7" ht="15.75" customHeight="1">
      <c r="E757" s="20"/>
      <c r="F757" s="20"/>
      <c r="G757" s="20"/>
    </row>
    <row r="758" spans="5:7" ht="15.75" customHeight="1">
      <c r="E758" s="20"/>
      <c r="F758" s="20"/>
      <c r="G758" s="20"/>
    </row>
    <row r="759" spans="5:7" ht="15.75" customHeight="1">
      <c r="E759" s="20"/>
      <c r="F759" s="20"/>
      <c r="G759" s="20"/>
    </row>
    <row r="760" spans="5:7" ht="15.75" customHeight="1">
      <c r="E760" s="20"/>
      <c r="F760" s="20"/>
      <c r="G760" s="20"/>
    </row>
    <row r="761" spans="5:7" ht="15.75" customHeight="1">
      <c r="E761" s="20"/>
      <c r="F761" s="20"/>
      <c r="G761" s="20"/>
    </row>
    <row r="762" spans="5:7" ht="15.75" customHeight="1">
      <c r="E762" s="20"/>
      <c r="F762" s="20"/>
      <c r="G762" s="20"/>
    </row>
    <row r="763" spans="5:7" ht="15.75" customHeight="1">
      <c r="E763" s="20"/>
      <c r="F763" s="20"/>
      <c r="G763" s="20"/>
    </row>
    <row r="764" spans="5:7" ht="15.75" customHeight="1">
      <c r="E764" s="20"/>
      <c r="F764" s="20"/>
      <c r="G764" s="20"/>
    </row>
    <row r="765" spans="5:7" ht="15.75" customHeight="1">
      <c r="E765" s="20"/>
      <c r="F765" s="20"/>
      <c r="G765" s="20"/>
    </row>
    <row r="766" spans="5:7" ht="15.75" customHeight="1">
      <c r="E766" s="20"/>
      <c r="F766" s="20"/>
      <c r="G766" s="20"/>
    </row>
    <row r="767" spans="5:7" ht="15.75" customHeight="1">
      <c r="E767" s="20"/>
      <c r="F767" s="20"/>
      <c r="G767" s="20"/>
    </row>
    <row r="768" spans="5:7" ht="15.75" customHeight="1">
      <c r="E768" s="20"/>
      <c r="F768" s="20"/>
      <c r="G768" s="20"/>
    </row>
    <row r="769" spans="5:7" ht="15.75" customHeight="1">
      <c r="E769" s="20"/>
      <c r="F769" s="20"/>
      <c r="G769" s="20"/>
    </row>
    <row r="770" spans="5:7" ht="15.75" customHeight="1">
      <c r="E770" s="20"/>
      <c r="F770" s="20"/>
      <c r="G770" s="20"/>
    </row>
    <row r="771" spans="5:7" ht="15.75" customHeight="1">
      <c r="E771" s="20"/>
      <c r="F771" s="20"/>
      <c r="G771" s="20"/>
    </row>
    <row r="772" spans="5:7" ht="15.75" customHeight="1">
      <c r="E772" s="20"/>
      <c r="F772" s="20"/>
      <c r="G772" s="20"/>
    </row>
    <row r="773" spans="5:7" ht="15.75" customHeight="1">
      <c r="E773" s="20"/>
      <c r="F773" s="20"/>
      <c r="G773" s="20"/>
    </row>
    <row r="774" spans="5:7" ht="15.75" customHeight="1">
      <c r="E774" s="20"/>
      <c r="F774" s="20"/>
      <c r="G774" s="20"/>
    </row>
    <row r="775" spans="5:7" ht="15.75" customHeight="1">
      <c r="E775" s="20"/>
      <c r="F775" s="20"/>
      <c r="G775" s="20"/>
    </row>
    <row r="776" spans="5:7" ht="15.75" customHeight="1">
      <c r="E776" s="20"/>
      <c r="F776" s="20"/>
      <c r="G776" s="20"/>
    </row>
    <row r="777" spans="5:7" ht="15.75" customHeight="1">
      <c r="E777" s="20"/>
      <c r="F777" s="20"/>
      <c r="G777" s="20"/>
    </row>
    <row r="778" spans="5:7" ht="15.75" customHeight="1">
      <c r="E778" s="20"/>
      <c r="F778" s="20"/>
      <c r="G778" s="20"/>
    </row>
    <row r="779" spans="5:7" ht="15.75" customHeight="1">
      <c r="E779" s="20"/>
      <c r="F779" s="20"/>
      <c r="G779" s="20"/>
    </row>
    <row r="780" spans="5:7" ht="15.75" customHeight="1">
      <c r="E780" s="20"/>
      <c r="F780" s="20"/>
      <c r="G780" s="20"/>
    </row>
    <row r="781" spans="5:7" ht="15.75" customHeight="1">
      <c r="E781" s="20"/>
      <c r="F781" s="20"/>
      <c r="G781" s="20"/>
    </row>
    <row r="782" spans="5:7" ht="15.75" customHeight="1">
      <c r="E782" s="20"/>
      <c r="F782" s="20"/>
      <c r="G782" s="20"/>
    </row>
    <row r="783" spans="5:7" ht="15.75" customHeight="1">
      <c r="E783" s="20"/>
      <c r="F783" s="20"/>
      <c r="G783" s="20"/>
    </row>
    <row r="784" spans="5:7" ht="15.75" customHeight="1">
      <c r="E784" s="20"/>
      <c r="F784" s="20"/>
      <c r="G784" s="20"/>
    </row>
    <row r="785" spans="5:7" ht="15.75" customHeight="1">
      <c r="E785" s="20"/>
      <c r="F785" s="20"/>
      <c r="G785" s="20"/>
    </row>
    <row r="786" spans="5:7" ht="15.75" customHeight="1">
      <c r="E786" s="20"/>
      <c r="F786" s="20"/>
      <c r="G786" s="20"/>
    </row>
    <row r="787" spans="5:7" ht="15.75" customHeight="1">
      <c r="E787" s="20"/>
      <c r="F787" s="20"/>
      <c r="G787" s="20"/>
    </row>
    <row r="788" spans="5:7" ht="15.75" customHeight="1">
      <c r="E788" s="20"/>
      <c r="F788" s="20"/>
      <c r="G788" s="20"/>
    </row>
    <row r="789" spans="5:7" ht="15.75" customHeight="1">
      <c r="E789" s="20"/>
      <c r="F789" s="20"/>
      <c r="G789" s="20"/>
    </row>
    <row r="790" spans="5:7" ht="15.75" customHeight="1">
      <c r="E790" s="20"/>
      <c r="F790" s="20"/>
      <c r="G790" s="20"/>
    </row>
    <row r="791" spans="5:7" ht="15.75" customHeight="1">
      <c r="E791" s="20"/>
      <c r="F791" s="20"/>
      <c r="G791" s="20"/>
    </row>
    <row r="792" spans="5:7" ht="15.75" customHeight="1">
      <c r="E792" s="20"/>
      <c r="F792" s="20"/>
      <c r="G792" s="20"/>
    </row>
    <row r="793" spans="5:7" ht="15.75" customHeight="1">
      <c r="E793" s="20"/>
      <c r="F793" s="20"/>
      <c r="G793" s="20"/>
    </row>
    <row r="794" spans="5:7" ht="15.75" customHeight="1">
      <c r="E794" s="20"/>
      <c r="F794" s="20"/>
      <c r="G794" s="20"/>
    </row>
    <row r="795" spans="5:7" ht="15.75" customHeight="1">
      <c r="E795" s="20"/>
      <c r="F795" s="20"/>
      <c r="G795" s="20"/>
    </row>
    <row r="796" spans="5:7" ht="15.75" customHeight="1">
      <c r="E796" s="20"/>
      <c r="F796" s="20"/>
      <c r="G796" s="20"/>
    </row>
    <row r="797" spans="5:7" ht="15.75" customHeight="1">
      <c r="E797" s="20"/>
      <c r="F797" s="20"/>
      <c r="G797" s="20"/>
    </row>
    <row r="798" spans="5:7" ht="15.75" customHeight="1">
      <c r="E798" s="20"/>
      <c r="F798" s="20"/>
      <c r="G798" s="20"/>
    </row>
    <row r="799" spans="5:7" ht="15.75" customHeight="1">
      <c r="E799" s="20"/>
      <c r="F799" s="20"/>
      <c r="G799" s="20"/>
    </row>
    <row r="800" spans="5:7" ht="15.75" customHeight="1">
      <c r="E800" s="20"/>
      <c r="F800" s="20"/>
      <c r="G800" s="20"/>
    </row>
    <row r="801" spans="5:7" ht="15.75" customHeight="1">
      <c r="E801" s="20"/>
      <c r="F801" s="20"/>
      <c r="G801" s="20"/>
    </row>
    <row r="802" spans="5:7" ht="15.75" customHeight="1">
      <c r="E802" s="20"/>
      <c r="F802" s="20"/>
      <c r="G802" s="20"/>
    </row>
    <row r="803" spans="5:7" ht="15.75" customHeight="1">
      <c r="E803" s="20"/>
      <c r="F803" s="20"/>
      <c r="G803" s="20"/>
    </row>
    <row r="804" spans="5:7" ht="15.75" customHeight="1">
      <c r="E804" s="20"/>
      <c r="F804" s="20"/>
      <c r="G804" s="20"/>
    </row>
    <row r="805" spans="5:7" ht="15.75" customHeight="1">
      <c r="E805" s="20"/>
      <c r="F805" s="20"/>
      <c r="G805" s="20"/>
    </row>
    <row r="806" spans="5:7" ht="15.75" customHeight="1">
      <c r="E806" s="20"/>
      <c r="F806" s="20"/>
      <c r="G806" s="20"/>
    </row>
    <row r="807" spans="5:7" ht="15.75" customHeight="1">
      <c r="E807" s="20"/>
      <c r="F807" s="20"/>
      <c r="G807" s="20"/>
    </row>
    <row r="808" spans="5:7" ht="15.75" customHeight="1">
      <c r="E808" s="20"/>
      <c r="F808" s="20"/>
      <c r="G808" s="20"/>
    </row>
    <row r="809" spans="5:7" ht="15.75" customHeight="1">
      <c r="E809" s="20"/>
      <c r="F809" s="20"/>
      <c r="G809" s="20"/>
    </row>
    <row r="810" spans="5:7" ht="15.75" customHeight="1">
      <c r="E810" s="20"/>
      <c r="F810" s="20"/>
      <c r="G810" s="20"/>
    </row>
    <row r="811" spans="5:7" ht="15.75" customHeight="1">
      <c r="E811" s="20"/>
      <c r="F811" s="20"/>
      <c r="G811" s="20"/>
    </row>
    <row r="812" spans="5:7" ht="15.75" customHeight="1">
      <c r="E812" s="20"/>
      <c r="F812" s="20"/>
      <c r="G812" s="20"/>
    </row>
    <row r="813" spans="5:7" ht="15.75" customHeight="1">
      <c r="E813" s="20"/>
      <c r="F813" s="20"/>
      <c r="G813" s="20"/>
    </row>
    <row r="814" spans="5:7" ht="15.75" customHeight="1">
      <c r="E814" s="20"/>
      <c r="F814" s="20"/>
      <c r="G814" s="20"/>
    </row>
    <row r="815" spans="5:7" ht="15.75" customHeight="1">
      <c r="E815" s="20"/>
      <c r="F815" s="20"/>
      <c r="G815" s="20"/>
    </row>
    <row r="816" spans="5:7" ht="15.75" customHeight="1">
      <c r="E816" s="20"/>
      <c r="F816" s="20"/>
      <c r="G816" s="20"/>
    </row>
    <row r="817" spans="5:7" ht="15.75" customHeight="1">
      <c r="E817" s="20"/>
      <c r="F817" s="20"/>
      <c r="G817" s="20"/>
    </row>
    <row r="818" spans="5:7" ht="15.75" customHeight="1">
      <c r="E818" s="20"/>
      <c r="F818" s="20"/>
      <c r="G818" s="20"/>
    </row>
    <row r="819" spans="5:7" ht="15.75" customHeight="1">
      <c r="E819" s="20"/>
      <c r="F819" s="20"/>
      <c r="G819" s="20"/>
    </row>
    <row r="820" spans="5:7" ht="15.75" customHeight="1">
      <c r="E820" s="20"/>
      <c r="F820" s="20"/>
      <c r="G820" s="20"/>
    </row>
    <row r="821" spans="5:7" ht="15.75" customHeight="1">
      <c r="E821" s="20"/>
      <c r="F821" s="20"/>
      <c r="G821" s="20"/>
    </row>
    <row r="822" spans="5:7" ht="15.75" customHeight="1">
      <c r="E822" s="20"/>
      <c r="F822" s="20"/>
      <c r="G822" s="20"/>
    </row>
    <row r="823" spans="5:7" ht="15.75" customHeight="1">
      <c r="E823" s="20"/>
      <c r="F823" s="20"/>
      <c r="G823" s="20"/>
    </row>
    <row r="824" spans="5:7" ht="15.75" customHeight="1">
      <c r="E824" s="20"/>
      <c r="F824" s="20"/>
      <c r="G824" s="20"/>
    </row>
    <row r="825" spans="5:7" ht="15.75" customHeight="1">
      <c r="E825" s="20"/>
      <c r="F825" s="20"/>
      <c r="G825" s="20"/>
    </row>
    <row r="826" spans="5:7" ht="15.75" customHeight="1">
      <c r="E826" s="20"/>
      <c r="F826" s="20"/>
      <c r="G826" s="20"/>
    </row>
    <row r="827" spans="5:7" ht="15.75" customHeight="1">
      <c r="E827" s="20"/>
      <c r="F827" s="20"/>
      <c r="G827" s="20"/>
    </row>
    <row r="828" spans="5:7" ht="15.75" customHeight="1">
      <c r="E828" s="20"/>
      <c r="F828" s="20"/>
      <c r="G828" s="20"/>
    </row>
    <row r="829" spans="5:7" ht="15.75" customHeight="1">
      <c r="E829" s="20"/>
      <c r="F829" s="20"/>
      <c r="G829" s="20"/>
    </row>
    <row r="830" spans="5:7" ht="15.75" customHeight="1">
      <c r="E830" s="20"/>
      <c r="F830" s="20"/>
      <c r="G830" s="20"/>
    </row>
    <row r="831" spans="5:7" ht="15.75" customHeight="1">
      <c r="E831" s="20"/>
      <c r="F831" s="20"/>
      <c r="G831" s="20"/>
    </row>
    <row r="832" spans="5:7" ht="15.75" customHeight="1">
      <c r="E832" s="20"/>
      <c r="F832" s="20"/>
      <c r="G832" s="20"/>
    </row>
    <row r="833" spans="5:7" ht="15.75" customHeight="1">
      <c r="E833" s="20"/>
      <c r="F833" s="20"/>
      <c r="G833" s="20"/>
    </row>
    <row r="834" spans="5:7" ht="15.75" customHeight="1">
      <c r="E834" s="20"/>
      <c r="F834" s="20"/>
      <c r="G834" s="20"/>
    </row>
    <row r="835" spans="5:7" ht="15.75" customHeight="1">
      <c r="E835" s="20"/>
      <c r="F835" s="20"/>
      <c r="G835" s="20"/>
    </row>
    <row r="836" spans="5:7" ht="15.75" customHeight="1">
      <c r="E836" s="20"/>
      <c r="F836" s="20"/>
      <c r="G836" s="20"/>
    </row>
    <row r="837" spans="5:7" ht="15.75" customHeight="1">
      <c r="E837" s="20"/>
      <c r="F837" s="20"/>
      <c r="G837" s="20"/>
    </row>
    <row r="838" spans="5:7" ht="15.75" customHeight="1">
      <c r="E838" s="20"/>
      <c r="F838" s="20"/>
      <c r="G838" s="20"/>
    </row>
    <row r="839" spans="5:7" ht="15.75" customHeight="1">
      <c r="E839" s="20"/>
      <c r="F839" s="20"/>
      <c r="G839" s="20"/>
    </row>
    <row r="840" spans="5:7" ht="15.75" customHeight="1">
      <c r="E840" s="20"/>
      <c r="F840" s="20"/>
      <c r="G840" s="20"/>
    </row>
    <row r="841" spans="5:7" ht="15.75" customHeight="1">
      <c r="E841" s="20"/>
      <c r="F841" s="20"/>
      <c r="G841" s="20"/>
    </row>
    <row r="842" spans="5:7" ht="15.75" customHeight="1">
      <c r="E842" s="20"/>
      <c r="F842" s="20"/>
      <c r="G842" s="20"/>
    </row>
    <row r="843" spans="5:7" ht="15.75" customHeight="1">
      <c r="E843" s="20"/>
      <c r="F843" s="20"/>
      <c r="G843" s="20"/>
    </row>
    <row r="844" spans="5:7" ht="15.75" customHeight="1">
      <c r="E844" s="20"/>
      <c r="F844" s="20"/>
      <c r="G844" s="20"/>
    </row>
    <row r="845" spans="5:7" ht="15.75" customHeight="1">
      <c r="E845" s="20"/>
      <c r="F845" s="20"/>
      <c r="G845" s="20"/>
    </row>
    <row r="846" spans="5:7" ht="15.75" customHeight="1">
      <c r="E846" s="20"/>
      <c r="F846" s="20"/>
      <c r="G846" s="20"/>
    </row>
    <row r="847" spans="5:7" ht="15.75" customHeight="1">
      <c r="E847" s="20"/>
      <c r="F847" s="20"/>
      <c r="G847" s="20"/>
    </row>
    <row r="848" spans="5:7" ht="15.75" customHeight="1">
      <c r="E848" s="20"/>
      <c r="F848" s="20"/>
      <c r="G848" s="20"/>
    </row>
    <row r="849" spans="5:7" ht="15.75" customHeight="1">
      <c r="E849" s="20"/>
      <c r="F849" s="20"/>
      <c r="G849" s="20"/>
    </row>
    <row r="850" spans="5:7" ht="15.75" customHeight="1">
      <c r="E850" s="20"/>
      <c r="F850" s="20"/>
      <c r="G850" s="20"/>
    </row>
    <row r="851" spans="5:7" ht="15.75" customHeight="1">
      <c r="E851" s="20"/>
      <c r="F851" s="20"/>
      <c r="G851" s="20"/>
    </row>
    <row r="852" spans="5:7" ht="15.75" customHeight="1">
      <c r="E852" s="20"/>
      <c r="F852" s="20"/>
      <c r="G852" s="20"/>
    </row>
    <row r="853" spans="5:7" ht="15.75" customHeight="1">
      <c r="E853" s="20"/>
      <c r="F853" s="20"/>
      <c r="G853" s="20"/>
    </row>
    <row r="854" spans="5:7" ht="15.75" customHeight="1">
      <c r="E854" s="20"/>
      <c r="F854" s="20"/>
      <c r="G854" s="20"/>
    </row>
    <row r="855" spans="5:7" ht="15.75" customHeight="1">
      <c r="E855" s="20"/>
      <c r="F855" s="20"/>
      <c r="G855" s="20"/>
    </row>
    <row r="856" spans="5:7" ht="15.75" customHeight="1">
      <c r="E856" s="20"/>
      <c r="F856" s="20"/>
      <c r="G856" s="20"/>
    </row>
    <row r="857" spans="5:7" ht="15.75" customHeight="1">
      <c r="E857" s="20"/>
      <c r="F857" s="20"/>
      <c r="G857" s="20"/>
    </row>
    <row r="858" spans="5:7" ht="15.75" customHeight="1">
      <c r="E858" s="20"/>
      <c r="F858" s="20"/>
      <c r="G858" s="20"/>
    </row>
    <row r="859" spans="5:7" ht="15.75" customHeight="1">
      <c r="E859" s="20"/>
      <c r="F859" s="20"/>
      <c r="G859" s="20"/>
    </row>
    <row r="860" spans="5:7" ht="15.75" customHeight="1">
      <c r="E860" s="20"/>
      <c r="F860" s="20"/>
      <c r="G860" s="20"/>
    </row>
    <row r="861" spans="5:7" ht="15.75" customHeight="1">
      <c r="E861" s="20"/>
      <c r="F861" s="20"/>
      <c r="G861" s="20"/>
    </row>
    <row r="862" spans="5:7" ht="15.75" customHeight="1">
      <c r="E862" s="20"/>
      <c r="F862" s="20"/>
      <c r="G862" s="20"/>
    </row>
    <row r="863" spans="5:7" ht="15.75" customHeight="1">
      <c r="E863" s="20"/>
      <c r="F863" s="20"/>
      <c r="G863" s="20"/>
    </row>
    <row r="864" spans="5:7" ht="15.75" customHeight="1">
      <c r="E864" s="20"/>
      <c r="F864" s="20"/>
      <c r="G864" s="20"/>
    </row>
    <row r="865" spans="5:7" ht="15.75" customHeight="1">
      <c r="E865" s="20"/>
      <c r="F865" s="20"/>
      <c r="G865" s="20"/>
    </row>
    <row r="866" spans="5:7" ht="15.75" customHeight="1">
      <c r="E866" s="20"/>
      <c r="F866" s="20"/>
      <c r="G866" s="20"/>
    </row>
    <row r="867" spans="5:7" ht="15.75" customHeight="1">
      <c r="E867" s="20"/>
      <c r="F867" s="20"/>
      <c r="G867" s="20"/>
    </row>
    <row r="868" spans="5:7" ht="15.75" customHeight="1">
      <c r="E868" s="20"/>
      <c r="F868" s="20"/>
      <c r="G868" s="20"/>
    </row>
    <row r="869" spans="5:7" ht="15.75" customHeight="1">
      <c r="E869" s="20"/>
      <c r="F869" s="20"/>
      <c r="G869" s="20"/>
    </row>
    <row r="870" spans="5:7" ht="15.75" customHeight="1">
      <c r="E870" s="20"/>
      <c r="F870" s="20"/>
      <c r="G870" s="20"/>
    </row>
    <row r="871" spans="5:7" ht="15.75" customHeight="1">
      <c r="E871" s="20"/>
      <c r="F871" s="20"/>
      <c r="G871" s="20"/>
    </row>
    <row r="872" spans="5:7" ht="15.75" customHeight="1">
      <c r="E872" s="20"/>
      <c r="F872" s="20"/>
      <c r="G872" s="20"/>
    </row>
    <row r="873" spans="5:7" ht="15.75" customHeight="1">
      <c r="E873" s="20"/>
      <c r="F873" s="20"/>
      <c r="G873" s="20"/>
    </row>
    <row r="874" spans="5:7" ht="15.75" customHeight="1">
      <c r="E874" s="20"/>
      <c r="F874" s="20"/>
      <c r="G874" s="20"/>
    </row>
    <row r="875" spans="5:7" ht="15.75" customHeight="1">
      <c r="E875" s="20"/>
      <c r="F875" s="20"/>
      <c r="G875" s="20"/>
    </row>
    <row r="876" spans="5:7" ht="15.75" customHeight="1">
      <c r="E876" s="20"/>
      <c r="F876" s="20"/>
      <c r="G876" s="20"/>
    </row>
    <row r="877" spans="5:7" ht="15.75" customHeight="1">
      <c r="E877" s="20"/>
      <c r="F877" s="20"/>
      <c r="G877" s="20"/>
    </row>
    <row r="878" spans="5:7" ht="15.75" customHeight="1">
      <c r="E878" s="20"/>
      <c r="F878" s="20"/>
      <c r="G878" s="20"/>
    </row>
    <row r="879" spans="5:7" ht="15.75" customHeight="1">
      <c r="E879" s="20"/>
      <c r="F879" s="20"/>
      <c r="G879" s="20"/>
    </row>
    <row r="880" spans="5:7" ht="15.75" customHeight="1">
      <c r="E880" s="20"/>
      <c r="F880" s="20"/>
      <c r="G880" s="20"/>
    </row>
    <row r="881" spans="5:7" ht="15.75" customHeight="1">
      <c r="E881" s="20"/>
      <c r="F881" s="20"/>
      <c r="G881" s="20"/>
    </row>
    <row r="882" spans="5:7" ht="15.75" customHeight="1">
      <c r="E882" s="20"/>
      <c r="F882" s="20"/>
      <c r="G882" s="20"/>
    </row>
    <row r="883" spans="5:7" ht="15.75" customHeight="1">
      <c r="E883" s="20"/>
      <c r="F883" s="20"/>
      <c r="G883" s="20"/>
    </row>
    <row r="884" spans="5:7" ht="15.75" customHeight="1">
      <c r="E884" s="20"/>
      <c r="F884" s="20"/>
      <c r="G884" s="20"/>
    </row>
    <row r="885" spans="5:7" ht="15.75" customHeight="1">
      <c r="E885" s="20"/>
      <c r="F885" s="20"/>
      <c r="G885" s="20"/>
    </row>
    <row r="886" spans="5:7" ht="15.75" customHeight="1">
      <c r="E886" s="20"/>
      <c r="F886" s="20"/>
      <c r="G886" s="20"/>
    </row>
    <row r="887" spans="5:7" ht="15.75" customHeight="1">
      <c r="E887" s="20"/>
      <c r="F887" s="20"/>
      <c r="G887" s="20"/>
    </row>
    <row r="888" spans="5:7" ht="15.75" customHeight="1">
      <c r="E888" s="20"/>
      <c r="F888" s="20"/>
      <c r="G888" s="20"/>
    </row>
    <row r="889" spans="5:7" ht="15.75" customHeight="1">
      <c r="E889" s="20"/>
      <c r="F889" s="20"/>
      <c r="G889" s="20"/>
    </row>
    <row r="890" spans="5:7" ht="15.75" customHeight="1">
      <c r="E890" s="20"/>
      <c r="F890" s="20"/>
      <c r="G890" s="20"/>
    </row>
    <row r="891" spans="5:7" ht="15.75" customHeight="1">
      <c r="E891" s="20"/>
      <c r="F891" s="20"/>
      <c r="G891" s="20"/>
    </row>
    <row r="892" spans="5:7" ht="15.75" customHeight="1">
      <c r="E892" s="20"/>
      <c r="F892" s="20"/>
      <c r="G892" s="20"/>
    </row>
    <row r="893" spans="5:7" ht="15.75" customHeight="1">
      <c r="E893" s="20"/>
      <c r="F893" s="20"/>
      <c r="G893" s="20"/>
    </row>
    <row r="894" spans="5:7" ht="15.75" customHeight="1">
      <c r="E894" s="20"/>
      <c r="F894" s="20"/>
      <c r="G894" s="20"/>
    </row>
    <row r="895" spans="5:7" ht="15.75" customHeight="1">
      <c r="E895" s="20"/>
      <c r="F895" s="20"/>
      <c r="G895" s="20"/>
    </row>
    <row r="896" spans="5:7" ht="15.75" customHeight="1">
      <c r="E896" s="20"/>
      <c r="F896" s="20"/>
      <c r="G896" s="20"/>
    </row>
    <row r="897" spans="5:7" ht="15.75" customHeight="1">
      <c r="E897" s="20"/>
      <c r="F897" s="20"/>
      <c r="G897" s="20"/>
    </row>
    <row r="898" spans="5:7" ht="15.75" customHeight="1">
      <c r="E898" s="20"/>
      <c r="F898" s="20"/>
      <c r="G898" s="20"/>
    </row>
    <row r="899" spans="5:7" ht="15.75" customHeight="1">
      <c r="E899" s="20"/>
      <c r="F899" s="20"/>
      <c r="G899" s="20"/>
    </row>
    <row r="900" spans="5:7" ht="15.75" customHeight="1">
      <c r="E900" s="20"/>
      <c r="F900" s="20"/>
      <c r="G900" s="20"/>
    </row>
    <row r="901" spans="5:7" ht="15.75" customHeight="1">
      <c r="E901" s="20"/>
      <c r="F901" s="20"/>
      <c r="G901" s="20"/>
    </row>
    <row r="902" spans="5:7" ht="15.75" customHeight="1">
      <c r="E902" s="20"/>
      <c r="F902" s="20"/>
      <c r="G902" s="20"/>
    </row>
    <row r="903" spans="5:7" ht="15.75" customHeight="1">
      <c r="E903" s="20"/>
      <c r="F903" s="20"/>
      <c r="G903" s="20"/>
    </row>
    <row r="904" spans="5:7" ht="15.75" customHeight="1">
      <c r="E904" s="20"/>
      <c r="F904" s="20"/>
      <c r="G904" s="20"/>
    </row>
    <row r="905" spans="5:7" ht="15.75" customHeight="1">
      <c r="E905" s="20"/>
      <c r="F905" s="20"/>
      <c r="G905" s="20"/>
    </row>
    <row r="906" spans="5:7" ht="15.75" customHeight="1">
      <c r="E906" s="20"/>
      <c r="F906" s="20"/>
      <c r="G906" s="20"/>
    </row>
    <row r="907" spans="5:7" ht="15.75" customHeight="1">
      <c r="E907" s="20"/>
      <c r="F907" s="20"/>
      <c r="G907" s="20"/>
    </row>
    <row r="908" spans="5:7" ht="15.75" customHeight="1">
      <c r="E908" s="20"/>
      <c r="F908" s="20"/>
      <c r="G908" s="20"/>
    </row>
    <row r="909" spans="5:7" ht="15.75" customHeight="1">
      <c r="E909" s="20"/>
      <c r="F909" s="20"/>
      <c r="G909" s="20"/>
    </row>
    <row r="910" spans="5:7" ht="15.75" customHeight="1">
      <c r="E910" s="20"/>
      <c r="F910" s="20"/>
      <c r="G910" s="20"/>
    </row>
    <row r="911" spans="5:7" ht="15.75" customHeight="1">
      <c r="E911" s="20"/>
      <c r="F911" s="20"/>
      <c r="G911" s="20"/>
    </row>
    <row r="912" spans="5:7" ht="15.75" customHeight="1">
      <c r="E912" s="20"/>
      <c r="F912" s="20"/>
      <c r="G912" s="20"/>
    </row>
    <row r="913" spans="5:7" ht="15.75" customHeight="1">
      <c r="E913" s="20"/>
      <c r="F913" s="20"/>
      <c r="G913" s="20"/>
    </row>
    <row r="914" spans="5:7" ht="15.75" customHeight="1">
      <c r="E914" s="20"/>
      <c r="F914" s="20"/>
      <c r="G914" s="20"/>
    </row>
    <row r="915" spans="5:7" ht="15.75" customHeight="1">
      <c r="E915" s="20"/>
      <c r="F915" s="20"/>
      <c r="G915" s="20"/>
    </row>
    <row r="916" spans="5:7" ht="15.75" customHeight="1">
      <c r="E916" s="20"/>
      <c r="F916" s="20"/>
      <c r="G916" s="20"/>
    </row>
    <row r="917" spans="5:7" ht="15.75" customHeight="1">
      <c r="E917" s="20"/>
      <c r="F917" s="20"/>
      <c r="G917" s="20"/>
    </row>
    <row r="918" spans="5:7" ht="15.75" customHeight="1">
      <c r="E918" s="20"/>
      <c r="F918" s="20"/>
      <c r="G918" s="20"/>
    </row>
    <row r="919" spans="5:7" ht="15.75" customHeight="1">
      <c r="E919" s="20"/>
      <c r="F919" s="20"/>
      <c r="G919" s="20"/>
    </row>
    <row r="920" spans="5:7" ht="15.75" customHeight="1">
      <c r="E920" s="20"/>
      <c r="F920" s="20"/>
      <c r="G920" s="20"/>
    </row>
    <row r="921" spans="5:7" ht="15.75" customHeight="1">
      <c r="E921" s="20"/>
      <c r="F921" s="20"/>
      <c r="G921" s="20"/>
    </row>
    <row r="922" spans="5:7" ht="15.75" customHeight="1">
      <c r="E922" s="20"/>
      <c r="F922" s="20"/>
      <c r="G922" s="20"/>
    </row>
    <row r="923" spans="5:7" ht="15.75" customHeight="1">
      <c r="E923" s="20"/>
      <c r="F923" s="20"/>
      <c r="G923" s="20"/>
    </row>
    <row r="924" spans="5:7" ht="15.75" customHeight="1">
      <c r="E924" s="20"/>
      <c r="F924" s="20"/>
      <c r="G924" s="20"/>
    </row>
    <row r="925" spans="5:7" ht="15.75" customHeight="1">
      <c r="E925" s="20"/>
      <c r="F925" s="20"/>
      <c r="G925" s="20"/>
    </row>
    <row r="926" spans="5:7" ht="15.75" customHeight="1">
      <c r="E926" s="20"/>
      <c r="F926" s="20"/>
      <c r="G926" s="20"/>
    </row>
    <row r="927" spans="5:7" ht="15.75" customHeight="1">
      <c r="E927" s="20"/>
      <c r="F927" s="20"/>
      <c r="G927" s="20"/>
    </row>
    <row r="928" spans="5:7" ht="15.75" customHeight="1">
      <c r="E928" s="20"/>
      <c r="F928" s="20"/>
      <c r="G928" s="20"/>
    </row>
    <row r="929" spans="5:7" ht="15.75" customHeight="1">
      <c r="E929" s="20"/>
      <c r="F929" s="20"/>
      <c r="G929" s="20"/>
    </row>
    <row r="930" spans="5:7" ht="15.75" customHeight="1">
      <c r="E930" s="20"/>
      <c r="F930" s="20"/>
      <c r="G930" s="20"/>
    </row>
    <row r="931" spans="5:7" ht="15.75" customHeight="1">
      <c r="E931" s="20"/>
      <c r="F931" s="20"/>
      <c r="G931" s="20"/>
    </row>
    <row r="932" spans="5:7" ht="15.75" customHeight="1">
      <c r="E932" s="20"/>
      <c r="F932" s="20"/>
      <c r="G932" s="20"/>
    </row>
    <row r="933" spans="5:7" ht="15.75" customHeight="1">
      <c r="E933" s="20"/>
      <c r="F933" s="20"/>
      <c r="G933" s="20"/>
    </row>
    <row r="934" spans="5:7" ht="15.75" customHeight="1">
      <c r="E934" s="20"/>
      <c r="F934" s="20"/>
      <c r="G934" s="20"/>
    </row>
    <row r="935" spans="5:7" ht="15.75" customHeight="1">
      <c r="E935" s="20"/>
      <c r="F935" s="20"/>
      <c r="G935" s="20"/>
    </row>
    <row r="936" spans="5:7" ht="15.75" customHeight="1">
      <c r="E936" s="20"/>
      <c r="F936" s="20"/>
      <c r="G936" s="20"/>
    </row>
    <row r="937" spans="5:7" ht="15.75" customHeight="1">
      <c r="E937" s="20"/>
      <c r="F937" s="20"/>
      <c r="G937" s="20"/>
    </row>
    <row r="938" spans="5:7" ht="15.75" customHeight="1">
      <c r="E938" s="20"/>
      <c r="F938" s="20"/>
      <c r="G938" s="20"/>
    </row>
    <row r="939" spans="5:7" ht="15.75" customHeight="1">
      <c r="E939" s="20"/>
      <c r="F939" s="20"/>
      <c r="G939" s="20"/>
    </row>
    <row r="940" spans="5:7" ht="15.75" customHeight="1">
      <c r="E940" s="20"/>
      <c r="F940" s="20"/>
      <c r="G940" s="20"/>
    </row>
    <row r="941" spans="5:7" ht="15.75" customHeight="1">
      <c r="E941" s="20"/>
      <c r="F941" s="20"/>
      <c r="G941" s="20"/>
    </row>
    <row r="942" spans="5:7" ht="15.75" customHeight="1">
      <c r="E942" s="20"/>
      <c r="F942" s="20"/>
      <c r="G942" s="20"/>
    </row>
    <row r="943" spans="5:7" ht="15.75" customHeight="1">
      <c r="E943" s="20"/>
      <c r="F943" s="20"/>
      <c r="G943" s="20"/>
    </row>
    <row r="944" spans="5:7" ht="15.75" customHeight="1">
      <c r="E944" s="20"/>
      <c r="F944" s="20"/>
      <c r="G944" s="20"/>
    </row>
    <row r="945" spans="5:7" ht="15.75" customHeight="1">
      <c r="E945" s="20"/>
      <c r="F945" s="20"/>
      <c r="G945" s="20"/>
    </row>
    <row r="946" spans="5:7" ht="15.75" customHeight="1">
      <c r="E946" s="20"/>
      <c r="F946" s="20"/>
      <c r="G946" s="20"/>
    </row>
    <row r="947" spans="5:7" ht="15.75" customHeight="1">
      <c r="E947" s="20"/>
      <c r="F947" s="20"/>
      <c r="G947" s="20"/>
    </row>
    <row r="948" spans="5:7" ht="15.75" customHeight="1">
      <c r="E948" s="20"/>
      <c r="F948" s="20"/>
      <c r="G948" s="20"/>
    </row>
    <row r="949" spans="5:7" ht="15.75" customHeight="1">
      <c r="E949" s="20"/>
      <c r="F949" s="20"/>
      <c r="G949" s="20"/>
    </row>
    <row r="950" spans="5:7" ht="15.75" customHeight="1">
      <c r="E950" s="20"/>
      <c r="F950" s="20"/>
      <c r="G950" s="20"/>
    </row>
    <row r="951" spans="5:7" ht="15.75" customHeight="1">
      <c r="E951" s="20"/>
      <c r="F951" s="20"/>
      <c r="G951" s="20"/>
    </row>
    <row r="952" spans="5:7" ht="15.75" customHeight="1">
      <c r="E952" s="20"/>
      <c r="F952" s="20"/>
      <c r="G952" s="20"/>
    </row>
    <row r="953" spans="5:7" ht="15.75" customHeight="1">
      <c r="E953" s="20"/>
      <c r="F953" s="20"/>
      <c r="G953" s="20"/>
    </row>
    <row r="954" spans="5:7" ht="15.75" customHeight="1">
      <c r="E954" s="20"/>
      <c r="F954" s="20"/>
      <c r="G954" s="20"/>
    </row>
    <row r="955" spans="5:7" ht="15.75" customHeight="1">
      <c r="E955" s="20"/>
      <c r="F955" s="20"/>
      <c r="G955" s="20"/>
    </row>
    <row r="956" spans="5:7" ht="15.75" customHeight="1">
      <c r="E956" s="20"/>
      <c r="F956" s="20"/>
      <c r="G956" s="20"/>
    </row>
    <row r="957" spans="5:7" ht="15.75" customHeight="1">
      <c r="E957" s="20"/>
      <c r="F957" s="20"/>
      <c r="G957" s="20"/>
    </row>
    <row r="958" spans="5:7" ht="15.75" customHeight="1">
      <c r="E958" s="20"/>
      <c r="F958" s="20"/>
      <c r="G958" s="20"/>
    </row>
    <row r="959" spans="5:7" ht="15.75" customHeight="1">
      <c r="E959" s="20"/>
      <c r="F959" s="20"/>
      <c r="G959" s="20"/>
    </row>
    <row r="960" spans="5:7" ht="15.75" customHeight="1">
      <c r="E960" s="20"/>
      <c r="F960" s="20"/>
      <c r="G960" s="20"/>
    </row>
    <row r="961" spans="5:7" ht="15.75" customHeight="1">
      <c r="E961" s="20"/>
      <c r="F961" s="20"/>
      <c r="G961" s="20"/>
    </row>
    <row r="962" spans="5:7" ht="15.75" customHeight="1">
      <c r="E962" s="20"/>
      <c r="F962" s="20"/>
      <c r="G962" s="20"/>
    </row>
    <row r="963" spans="5:7" ht="15.75" customHeight="1">
      <c r="E963" s="20"/>
      <c r="F963" s="20"/>
      <c r="G963" s="20"/>
    </row>
    <row r="964" spans="5:7" ht="15.75" customHeight="1">
      <c r="E964" s="20"/>
      <c r="F964" s="20"/>
      <c r="G964" s="20"/>
    </row>
    <row r="965" spans="5:7" ht="15.75" customHeight="1">
      <c r="E965" s="20"/>
      <c r="F965" s="20"/>
      <c r="G965" s="20"/>
    </row>
    <row r="966" spans="5:7" ht="15.75" customHeight="1">
      <c r="E966" s="20"/>
      <c r="F966" s="20"/>
      <c r="G966" s="20"/>
    </row>
    <row r="967" spans="5:7" ht="15.75" customHeight="1">
      <c r="E967" s="20"/>
      <c r="F967" s="20"/>
      <c r="G967" s="20"/>
    </row>
    <row r="968" spans="5:7" ht="15.75" customHeight="1">
      <c r="E968" s="20"/>
      <c r="F968" s="20"/>
      <c r="G968" s="20"/>
    </row>
    <row r="969" spans="5:7" ht="15.75" customHeight="1">
      <c r="E969" s="20"/>
      <c r="F969" s="20"/>
      <c r="G969" s="20"/>
    </row>
    <row r="970" spans="5:7" ht="15.75" customHeight="1">
      <c r="E970" s="20"/>
      <c r="F970" s="20"/>
      <c r="G970" s="20"/>
    </row>
    <row r="971" spans="5:7" ht="15.75" customHeight="1">
      <c r="E971" s="20"/>
      <c r="F971" s="20"/>
      <c r="G971" s="20"/>
    </row>
    <row r="972" spans="5:7" ht="15.75" customHeight="1">
      <c r="E972" s="20"/>
      <c r="F972" s="20"/>
      <c r="G972" s="20"/>
    </row>
    <row r="973" spans="5:7" ht="15.75" customHeight="1">
      <c r="E973" s="20"/>
      <c r="F973" s="20"/>
      <c r="G973" s="20"/>
    </row>
    <row r="974" spans="5:7" ht="15.75" customHeight="1">
      <c r="E974" s="20"/>
      <c r="F974" s="20"/>
      <c r="G974" s="20"/>
    </row>
    <row r="975" spans="5:7" ht="15.75" customHeight="1">
      <c r="E975" s="20"/>
      <c r="F975" s="20"/>
      <c r="G975" s="20"/>
    </row>
    <row r="976" spans="5:7" ht="15.75" customHeight="1">
      <c r="E976" s="20"/>
      <c r="F976" s="20"/>
      <c r="G976" s="20"/>
    </row>
    <row r="977" spans="5:7" ht="15.75" customHeight="1">
      <c r="E977" s="20"/>
      <c r="F977" s="20"/>
      <c r="G977" s="20"/>
    </row>
    <row r="978" spans="5:7" ht="15.75" customHeight="1">
      <c r="E978" s="20"/>
      <c r="F978" s="20"/>
      <c r="G978" s="20"/>
    </row>
    <row r="979" spans="5:7" ht="15.75" customHeight="1">
      <c r="E979" s="20"/>
      <c r="F979" s="20"/>
      <c r="G979" s="20"/>
    </row>
    <row r="980" spans="5:7" ht="15.75" customHeight="1">
      <c r="E980" s="20"/>
      <c r="F980" s="20"/>
      <c r="G980" s="20"/>
    </row>
    <row r="981" spans="5:7" ht="15.75" customHeight="1">
      <c r="E981" s="20"/>
      <c r="F981" s="20"/>
      <c r="G981" s="20"/>
    </row>
    <row r="982" spans="5:7" ht="15.75" customHeight="1">
      <c r="E982" s="20"/>
      <c r="F982" s="20"/>
      <c r="G982" s="20"/>
    </row>
    <row r="983" spans="5:7" ht="15.75" customHeight="1">
      <c r="E983" s="20"/>
      <c r="F983" s="20"/>
      <c r="G983" s="20"/>
    </row>
    <row r="984" spans="5:7" ht="15.75" customHeight="1">
      <c r="E984" s="20"/>
      <c r="F984" s="20"/>
      <c r="G984" s="20"/>
    </row>
    <row r="985" spans="5:7" ht="15.75" customHeight="1">
      <c r="E985" s="20"/>
      <c r="F985" s="20"/>
      <c r="G985" s="20"/>
    </row>
    <row r="986" spans="5:7" ht="15.75" customHeight="1">
      <c r="E986" s="20"/>
      <c r="F986" s="20"/>
      <c r="G986" s="20"/>
    </row>
    <row r="987" spans="5:7" ht="15.75" customHeight="1">
      <c r="E987" s="20"/>
      <c r="F987" s="20"/>
      <c r="G987" s="20"/>
    </row>
    <row r="988" spans="5:7" ht="15.75" customHeight="1">
      <c r="E988" s="20"/>
      <c r="F988" s="20"/>
      <c r="G988" s="20"/>
    </row>
    <row r="989" spans="5:7" ht="15.75" customHeight="1">
      <c r="E989" s="20"/>
      <c r="F989" s="20"/>
      <c r="G989" s="20"/>
    </row>
    <row r="990" spans="5:7" ht="15.75" customHeight="1">
      <c r="E990" s="20"/>
      <c r="F990" s="20"/>
      <c r="G990" s="20"/>
    </row>
  </sheetData>
  <autoFilter ref="A4:T4">
    <filterColumn colId="1"/>
  </autoFilter>
  <mergeCells count="3">
    <mergeCell ref="A1:T1"/>
    <mergeCell ref="A2:T2"/>
    <mergeCell ref="A3:T3"/>
  </mergeCells>
  <conditionalFormatting sqref="P5:P990">
    <cfRule type="cellIs" dxfId="29" priority="1" operator="equal">
      <formula>"Cleared"</formula>
    </cfRule>
  </conditionalFormatting>
  <conditionalFormatting sqref="P5:P990">
    <cfRule type="cellIs" dxfId="28" priority="2" operator="equal">
      <formula>"Unpaid"</formula>
    </cfRule>
  </conditionalFormatting>
  <conditionalFormatting sqref="P5:P990">
    <cfRule type="cellIs" dxfId="27" priority="3" operator="equal">
      <formula>"Active"</formula>
    </cfRule>
  </conditionalFormatting>
  <dataValidations count="2">
    <dataValidation type="custom" allowBlank="1" showInputMessage="1" showErrorMessage="1" prompt="CNIC Error - Must be 15 chars" sqref="E5:E990">
      <formula1>EQ(LEN(E5),(15))</formula1>
    </dataValidation>
    <dataValidation type="custom" allowBlank="1" showInputMessage="1" showErrorMessage="1" prompt="Phone Error - Must be 11 digits" sqref="F5:G990">
      <formula1>EQ(LEN(F5),(11))</formula1>
    </dataValidation>
  </dataValidations>
  <pageMargins left="0.5" right="0.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16"/>
  <sheetViews>
    <sheetView showGridLines="0" workbookViewId="0">
      <pane ySplit="10" topLeftCell="A11" activePane="bottomLeft" state="frozen"/>
      <selection pane="bottomLeft" activeCell="O12" sqref="O12"/>
    </sheetView>
  </sheetViews>
  <sheetFormatPr defaultColWidth="14.42578125" defaultRowHeight="15" customHeight="1"/>
  <cols>
    <col min="1" max="1" width="12" customWidth="1"/>
    <col min="2" max="2" width="8" customWidth="1"/>
    <col min="3" max="3" width="12.7109375" customWidth="1"/>
    <col min="4" max="4" width="16.42578125" customWidth="1"/>
    <col min="5" max="5" width="22" customWidth="1"/>
    <col min="6" max="6" width="17.7109375" bestFit="1" customWidth="1"/>
    <col min="7" max="7" width="12" customWidth="1"/>
    <col min="8" max="8" width="16" customWidth="1"/>
    <col min="9" max="9" width="26.140625" bestFit="1" customWidth="1"/>
    <col min="10" max="10" width="18.28515625" customWidth="1"/>
    <col min="11" max="11" width="14" customWidth="1"/>
    <col min="12" max="12" width="12" customWidth="1"/>
    <col min="13" max="13" width="24.42578125" customWidth="1"/>
    <col min="14" max="15" width="12" customWidth="1"/>
    <col min="16" max="16" width="14.85546875" customWidth="1"/>
    <col min="17" max="17" width="14" customWidth="1"/>
    <col min="18" max="18" width="10" customWidth="1"/>
    <col min="19" max="19" width="18" customWidth="1"/>
    <col min="20" max="27" width="8.7109375" customWidth="1"/>
  </cols>
  <sheetData>
    <row r="1" spans="1:21" ht="37.5" customHeight="1">
      <c r="A1" s="132" t="s">
        <v>343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</row>
    <row r="2" spans="1:21" ht="18" customHeight="1">
      <c r="A2" s="133" t="s">
        <v>344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5"/>
    </row>
    <row r="3" spans="1:21" ht="25.5" customHeight="1">
      <c r="A3" s="219" t="s">
        <v>345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5"/>
    </row>
    <row r="4" spans="1:21" ht="19.5" customHeight="1">
      <c r="A4" s="145" t="s">
        <v>346</v>
      </c>
      <c r="B4" s="124"/>
      <c r="C4" s="124"/>
      <c r="D4" s="125"/>
      <c r="E4" s="144" t="s">
        <v>347</v>
      </c>
      <c r="F4" s="124"/>
      <c r="G4" s="124"/>
      <c r="H4" s="125"/>
      <c r="I4" s="139" t="s">
        <v>348</v>
      </c>
      <c r="J4" s="124"/>
      <c r="K4" s="124"/>
      <c r="L4" s="125"/>
      <c r="M4" s="138" t="s">
        <v>329</v>
      </c>
      <c r="N4" s="124"/>
      <c r="O4" s="124"/>
      <c r="P4" s="124"/>
      <c r="Q4" s="125"/>
      <c r="R4" s="139" t="s">
        <v>349</v>
      </c>
      <c r="S4" s="124"/>
      <c r="T4" s="124"/>
      <c r="U4" s="125"/>
    </row>
    <row r="5" spans="1:21" ht="36" customHeight="1">
      <c r="A5" s="183">
        <f>COUNTA(A11:A49919)</f>
        <v>12</v>
      </c>
      <c r="B5" s="124"/>
      <c r="C5" s="124"/>
      <c r="D5" s="125"/>
      <c r="E5" s="182">
        <f ca="1">COUNTIF(N11:N49919,"Paid")</f>
        <v>2</v>
      </c>
      <c r="F5" s="124"/>
      <c r="G5" s="124"/>
      <c r="H5" s="125"/>
      <c r="I5" s="181">
        <f ca="1">COUNTIF(N11:N49919,"Overdue")</f>
        <v>2</v>
      </c>
      <c r="J5" s="124"/>
      <c r="K5" s="124"/>
      <c r="L5" s="125"/>
      <c r="M5" s="180">
        <f ca="1">COUNTIF(N11:N49919,"Pending")</f>
        <v>8</v>
      </c>
      <c r="N5" s="124"/>
      <c r="O5" s="124"/>
      <c r="P5" s="124"/>
      <c r="Q5" s="125"/>
      <c r="R5" s="181">
        <f ca="1">SUMIF(N11:N49919,"Overdue",K11:K49919)</f>
        <v>1150000</v>
      </c>
      <c r="S5" s="124"/>
      <c r="T5" s="124"/>
      <c r="U5" s="125"/>
    </row>
    <row r="7" spans="1:21" ht="21.75" customHeight="1">
      <c r="A7" s="136" t="s">
        <v>350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5"/>
    </row>
    <row r="8" spans="1:21" ht="31.5" customHeight="1">
      <c r="A8" s="1" t="s">
        <v>351</v>
      </c>
      <c r="B8" s="1" t="s">
        <v>352</v>
      </c>
      <c r="C8" s="1" t="s">
        <v>353</v>
      </c>
      <c r="D8" s="1" t="s">
        <v>354</v>
      </c>
      <c r="E8" s="1" t="s">
        <v>150</v>
      </c>
      <c r="F8" s="1" t="s">
        <v>355</v>
      </c>
      <c r="G8" s="1" t="s">
        <v>356</v>
      </c>
      <c r="H8" s="1" t="s">
        <v>357</v>
      </c>
      <c r="I8" s="1" t="s">
        <v>358</v>
      </c>
      <c r="J8" s="1" t="s">
        <v>359</v>
      </c>
      <c r="K8" s="1" t="s">
        <v>325</v>
      </c>
      <c r="L8" s="1" t="s">
        <v>360</v>
      </c>
      <c r="M8" s="1" t="s">
        <v>361</v>
      </c>
      <c r="N8" s="1" t="s">
        <v>173</v>
      </c>
      <c r="O8" s="64" t="s">
        <v>663</v>
      </c>
      <c r="P8" s="1" t="s">
        <v>362</v>
      </c>
      <c r="Q8" s="1" t="s">
        <v>363</v>
      </c>
      <c r="R8" s="1" t="s">
        <v>364</v>
      </c>
      <c r="S8" s="1" t="s">
        <v>156</v>
      </c>
    </row>
    <row r="9" spans="1:21" ht="19.5" customHeight="1">
      <c r="A9" s="218" t="s">
        <v>365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</row>
    <row r="10" spans="1:21" ht="15" customHeight="1">
      <c r="F10" s="78"/>
      <c r="G10" s="78"/>
      <c r="H10" s="78"/>
      <c r="I10" s="78"/>
      <c r="O10" s="78"/>
      <c r="S10" s="78"/>
    </row>
    <row r="11" spans="1:21" ht="19.5" customHeight="1">
      <c r="A11" s="2" t="str">
        <f t="shared" ref="A11:A15" si="0">IF(C11&lt;&gt;"",C11&amp;"-"&amp;TEXT(F11,"00"),"")</f>
        <v>F-202-01</v>
      </c>
      <c r="B11" s="2">
        <f t="shared" ref="B11:B20" si="1">IF(C11&lt;&gt;"",ROW()-10,"")</f>
        <v>1</v>
      </c>
      <c r="C11" s="17" t="s">
        <v>651</v>
      </c>
      <c r="D11" s="2" t="str">
        <f>IFERROR(VLOOKUP(C11,'🏘️ Flat Register'!A:M,10,0),"")</f>
        <v/>
      </c>
      <c r="E11" s="2" t="str">
        <f>IFERROR(VLOOKUP(D11,'👤 Customers'!A:C,2,0),"")</f>
        <v/>
      </c>
      <c r="F11" s="17">
        <v>1</v>
      </c>
      <c r="G11" s="17" t="s">
        <v>662</v>
      </c>
      <c r="H11" s="18">
        <v>46174</v>
      </c>
      <c r="I11" s="19">
        <v>2000000</v>
      </c>
      <c r="J11" s="3">
        <f>IFERROR(SUMIF('💳 PAYMENTS Entery'!L:L,A11,'💳 PAYMENTS Entery'!H:H),0)</f>
        <v>2000000</v>
      </c>
      <c r="K11" s="3">
        <f t="shared" ref="K11:K15" si="2">I11-J11</f>
        <v>0</v>
      </c>
      <c r="L11" s="25" t="str">
        <f ca="1">IFERROR(MAXIFS('💳 PAYMENTS Entery'!C:C,'💳 PAYMENTS Entery'!G:G,C11),"")</f>
        <v/>
      </c>
      <c r="M11" s="59">
        <f t="shared" ref="M11:M20" ca="1" si="3">IF(J11&gt;=I11,0,IF(L11&lt;&gt;"",MAX(0,L11-H11),MAX(0,TODAY()-H11)))</f>
        <v>0</v>
      </c>
      <c r="N11" s="2" t="str">
        <f t="shared" ref="N11:N15" ca="1" si="4">IF(J11&gt;=I11,"Paid",IF(AND(J11&gt;0,J11&lt;I11),"Partial",IF(TODAY()&gt;H11,"Overdue","Pending")))</f>
        <v>Paid</v>
      </c>
      <c r="O11" s="52" t="s">
        <v>667</v>
      </c>
      <c r="P11" s="3">
        <f t="shared" ref="P11:P15" ca="1" si="5">IF(M11&gt;0,ROUND(M11*I11*0.02/30,0),0)</f>
        <v>0</v>
      </c>
      <c r="Q11" s="3">
        <f>IFERROR(SUMIF('💳 PAYMENTS Entery'!G:G,C11,'💳 PAYMENTS Entery'!H:H),0)</f>
        <v>0</v>
      </c>
      <c r="R11" s="4">
        <f>IFERROR(Q11/VLOOKUP(C11,'🏘️ Flat Register'!A:H,8,0),0)</f>
        <v>0</v>
      </c>
      <c r="S11" s="17"/>
    </row>
    <row r="12" spans="1:21" ht="19.5" customHeight="1">
      <c r="A12" s="5" t="str">
        <f t="shared" si="0"/>
        <v>F-202-02</v>
      </c>
      <c r="B12" s="2">
        <f t="shared" si="1"/>
        <v>2</v>
      </c>
      <c r="C12" s="17" t="s">
        <v>651</v>
      </c>
      <c r="D12" s="2" t="str">
        <f>IFERROR(VLOOKUP(C12,'🏘️ Flat Register'!A:M,10,0),"")</f>
        <v/>
      </c>
      <c r="E12" s="5" t="str">
        <f>IFERROR(VLOOKUP(D12,'👤 Customers'!A:C,2,0),"")</f>
        <v/>
      </c>
      <c r="F12" s="17">
        <v>2</v>
      </c>
      <c r="G12" s="22" t="s">
        <v>190</v>
      </c>
      <c r="H12" s="26">
        <v>46113</v>
      </c>
      <c r="I12" s="23">
        <v>150000</v>
      </c>
      <c r="J12" s="3">
        <f>IFERROR(SUMIF('💳 PAYMENTS Entery'!L:L,A12,'💳 PAYMENTS Entery'!H:H),0)</f>
        <v>280000</v>
      </c>
      <c r="K12" s="6">
        <f t="shared" si="2"/>
        <v>-130000</v>
      </c>
      <c r="L12" s="27" t="str">
        <f ca="1">IFERROR(MAXIFS('💳 PAYMENTS Entery'!C:C,'💳 PAYMENTS Entery'!G:G,C12),"")</f>
        <v/>
      </c>
      <c r="M12" s="59">
        <f t="shared" ca="1" si="3"/>
        <v>0</v>
      </c>
      <c r="N12" s="5" t="str">
        <f t="shared" ca="1" si="4"/>
        <v>Paid</v>
      </c>
      <c r="O12" s="5"/>
      <c r="P12" s="6">
        <f t="shared" ca="1" si="5"/>
        <v>0</v>
      </c>
      <c r="Q12" s="6">
        <f>IFERROR(SUMIF('💳 PAYMENTS Entery'!G:G,C12,'💳 PAYMENTS Entery'!H:H),0)</f>
        <v>0</v>
      </c>
      <c r="R12" s="7">
        <f>IFERROR(Q12/VLOOKUP(C12,'🏘️ Flat Register'!A:H,8,0),0)</f>
        <v>0</v>
      </c>
      <c r="S12" s="22"/>
    </row>
    <row r="13" spans="1:21" ht="19.5" customHeight="1">
      <c r="A13" s="2" t="str">
        <f t="shared" si="0"/>
        <v>F-202-03</v>
      </c>
      <c r="B13" s="2">
        <f t="shared" si="1"/>
        <v>3</v>
      </c>
      <c r="C13" s="17" t="s">
        <v>651</v>
      </c>
      <c r="D13" s="2" t="str">
        <f>IFERROR(VLOOKUP(C13,'🏘️ Flat Register'!A:M,10,0),"")</f>
        <v/>
      </c>
      <c r="E13" s="2" t="str">
        <f>IFERROR(VLOOKUP(D13,'👤 Customers'!A:C,2,0),"")</f>
        <v/>
      </c>
      <c r="F13" s="17">
        <v>3</v>
      </c>
      <c r="G13" s="17" t="s">
        <v>190</v>
      </c>
      <c r="H13" s="18">
        <v>46174</v>
      </c>
      <c r="I13" s="19">
        <v>150000</v>
      </c>
      <c r="J13" s="3">
        <f>IFERROR(SUMIF('💳 PAYMENTS Entery'!L:L,A13,'💳 PAYMENTS Entery'!H:H),0)</f>
        <v>0</v>
      </c>
      <c r="K13" s="3">
        <f t="shared" si="2"/>
        <v>150000</v>
      </c>
      <c r="L13" s="25" t="str">
        <f ca="1">IFERROR(MAXIFS('💳 PAYMENTS Entery'!C:C,'💳 PAYMENTS Entery'!G:G,C13),"")</f>
        <v/>
      </c>
      <c r="M13" s="59">
        <f t="shared" ca="1" si="3"/>
        <v>53</v>
      </c>
      <c r="N13" s="2" t="str">
        <f t="shared" ca="1" si="4"/>
        <v>Overdue</v>
      </c>
      <c r="O13" s="2"/>
      <c r="P13" s="3">
        <f t="shared" ca="1" si="5"/>
        <v>5300</v>
      </c>
      <c r="Q13" s="3">
        <f>IFERROR(SUMIF('💳 PAYMENTS Entery'!G:G,C13,'💳 PAYMENTS Entery'!H:H),0)</f>
        <v>0</v>
      </c>
      <c r="R13" s="4">
        <f>IFERROR(Q13/VLOOKUP(C13,'🏘️ Flat Register'!A:H,8,0),0)</f>
        <v>0</v>
      </c>
      <c r="S13" s="17"/>
    </row>
    <row r="14" spans="1:21" ht="19.5" customHeight="1">
      <c r="A14" s="5" t="str">
        <f t="shared" si="0"/>
        <v>F-202-04</v>
      </c>
      <c r="B14" s="2">
        <f t="shared" si="1"/>
        <v>4</v>
      </c>
      <c r="C14" s="17" t="s">
        <v>651</v>
      </c>
      <c r="D14" s="2" t="str">
        <f>IFERROR(VLOOKUP(C14,'🏘️ Flat Register'!A:M,10,0),"")</f>
        <v/>
      </c>
      <c r="E14" s="5" t="str">
        <f>IFERROR(VLOOKUP(D14,'👤 Customers'!A:C,2,0),"")</f>
        <v/>
      </c>
      <c r="F14" s="17">
        <v>4</v>
      </c>
      <c r="G14" s="22" t="s">
        <v>192</v>
      </c>
      <c r="H14" s="26">
        <v>46204</v>
      </c>
      <c r="I14" s="23">
        <v>1000000</v>
      </c>
      <c r="J14" s="3">
        <f>IFERROR(SUMIF('💳 PAYMENTS Entery'!L:L,A14,'💳 PAYMENTS Entery'!H:H),0)</f>
        <v>0</v>
      </c>
      <c r="K14" s="6">
        <f t="shared" si="2"/>
        <v>1000000</v>
      </c>
      <c r="L14" s="27" t="str">
        <f ca="1">IFERROR(MAXIFS('💳 PAYMENTS Entery'!C:C,'💳 PAYMENTS Entery'!G:G,C14),"")</f>
        <v/>
      </c>
      <c r="M14" s="59">
        <f t="shared" ca="1" si="3"/>
        <v>23</v>
      </c>
      <c r="N14" s="5" t="str">
        <f t="shared" ca="1" si="4"/>
        <v>Overdue</v>
      </c>
      <c r="O14" s="5"/>
      <c r="P14" s="6">
        <f t="shared" ca="1" si="5"/>
        <v>15333</v>
      </c>
      <c r="Q14" s="6">
        <f>IFERROR(SUMIF('💳 PAYMENTS Entery'!G:G,C14,'💳 PAYMENTS Entery'!H:H),0)</f>
        <v>0</v>
      </c>
      <c r="R14" s="7">
        <f>IFERROR(Q14/VLOOKUP(C14,'🏘️ Flat Register'!A:H,8,0),0)</f>
        <v>0</v>
      </c>
      <c r="S14" s="22"/>
    </row>
    <row r="15" spans="1:21" ht="19.5" customHeight="1">
      <c r="A15" s="2" t="str">
        <f t="shared" si="0"/>
        <v>F-202-05</v>
      </c>
      <c r="B15" s="2">
        <f t="shared" si="1"/>
        <v>5</v>
      </c>
      <c r="C15" s="17" t="s">
        <v>651</v>
      </c>
      <c r="D15" s="2" t="str">
        <f>IFERROR(VLOOKUP(C15,'🏘️ Flat Register'!A:M,10,0),"")</f>
        <v/>
      </c>
      <c r="E15" s="2" t="str">
        <f>IFERROR(VLOOKUP(D15,'👤 Customers'!A:C,2,0),"")</f>
        <v/>
      </c>
      <c r="F15" s="17">
        <v>5</v>
      </c>
      <c r="G15" s="17" t="s">
        <v>192</v>
      </c>
      <c r="H15" s="26">
        <v>46235</v>
      </c>
      <c r="I15" s="19">
        <v>150000</v>
      </c>
      <c r="J15" s="3">
        <f>IFERROR(SUMIF('💳 PAYMENTS Entery'!L:L,A15,'💳 PAYMENTS Entery'!H:H),0)</f>
        <v>0</v>
      </c>
      <c r="K15" s="3">
        <f t="shared" si="2"/>
        <v>150000</v>
      </c>
      <c r="L15" s="25" t="str">
        <f ca="1">IFERROR(MAXIFS('💳 PAYMENTS Entery'!C:C,'💳 PAYMENTS Entery'!G:G,C15),"")</f>
        <v/>
      </c>
      <c r="M15" s="59">
        <f t="shared" ca="1" si="3"/>
        <v>0</v>
      </c>
      <c r="N15" s="2" t="str">
        <f t="shared" ca="1" si="4"/>
        <v>Pending</v>
      </c>
      <c r="O15" s="2"/>
      <c r="P15" s="3">
        <f t="shared" ca="1" si="5"/>
        <v>0</v>
      </c>
      <c r="Q15" s="3">
        <f>IFERROR(SUMIF('💳 PAYMENTS Entery'!G:G,C15,'💳 PAYMENTS Entery'!H:H),0)</f>
        <v>0</v>
      </c>
      <c r="R15" s="4">
        <f>IFERROR(Q15/VLOOKUP(C15,'🏘️ Flat Register'!A:H,8,0),0)</f>
        <v>0</v>
      </c>
      <c r="S15" s="17"/>
    </row>
    <row r="16" spans="1:21" ht="15" customHeight="1">
      <c r="A16" s="2" t="str">
        <f t="shared" ref="A16:A20" si="6">IF(C16&lt;&gt;"",C16&amp;"-"&amp;TEXT(F16,"00"),"")</f>
        <v>F-202-06</v>
      </c>
      <c r="B16" s="2">
        <f t="shared" si="1"/>
        <v>6</v>
      </c>
      <c r="C16" s="17" t="s">
        <v>651</v>
      </c>
      <c r="D16" s="2" t="str">
        <f>IFERROR(VLOOKUP(C16,'🏘️ Flat Register'!A:M,10,0),"")</f>
        <v/>
      </c>
      <c r="E16" s="2" t="str">
        <f>IFERROR(VLOOKUP(D16,'👤 Customers'!A:C,2,0),"")</f>
        <v/>
      </c>
      <c r="F16" s="17">
        <v>6</v>
      </c>
      <c r="G16" s="17" t="s">
        <v>192</v>
      </c>
      <c r="H16" s="26">
        <v>46266</v>
      </c>
      <c r="I16" s="19">
        <v>150000</v>
      </c>
      <c r="J16" s="3">
        <f>IFERROR(SUMIF('💳 PAYMENTS Entery'!L:L,A16,'💳 PAYMENTS Entery'!H:H),0)</f>
        <v>0</v>
      </c>
      <c r="K16" s="3">
        <f t="shared" ref="K16:K20" si="7">I16-J16</f>
        <v>150000</v>
      </c>
      <c r="L16" s="25" t="str">
        <f ca="1">IFERROR(MAXIFS('💳 PAYMENTS Entery'!C:C,'💳 PAYMENTS Entery'!G:G,C16),"")</f>
        <v/>
      </c>
      <c r="M16" s="59">
        <f t="shared" ca="1" si="3"/>
        <v>0</v>
      </c>
      <c r="N16" s="2" t="str">
        <f t="shared" ref="N16:N20" ca="1" si="8">IF(J16&gt;=I16,"Paid",IF(AND(J16&gt;0,J16&lt;I16),"Partial",IF(TODAY()&gt;H16,"Overdue","Pending")))</f>
        <v>Pending</v>
      </c>
      <c r="O16" s="2"/>
      <c r="P16" s="3">
        <f t="shared" ref="P16:P20" ca="1" si="9">IF(M16&gt;0,ROUND(M16*I16*0.02/30,0),0)</f>
        <v>0</v>
      </c>
      <c r="Q16" s="3">
        <f>IFERROR(SUMIF('💳 PAYMENTS Entery'!G:G,C16,'💳 PAYMENTS Entery'!H:H),0)</f>
        <v>0</v>
      </c>
      <c r="R16" s="4">
        <f>IFERROR(Q16/VLOOKUP(C16,'🏘️ Flat Register'!A:H,8,0),0)</f>
        <v>0</v>
      </c>
      <c r="S16" s="17"/>
    </row>
    <row r="17" spans="1:19" ht="15" customHeight="1">
      <c r="A17" s="2" t="str">
        <f t="shared" si="6"/>
        <v>F-202-07</v>
      </c>
      <c r="B17" s="2">
        <f t="shared" si="1"/>
        <v>7</v>
      </c>
      <c r="C17" s="17" t="s">
        <v>651</v>
      </c>
      <c r="D17" s="2" t="str">
        <f>IFERROR(VLOOKUP(C17,'🏘️ Flat Register'!A:M,10,0),"")</f>
        <v/>
      </c>
      <c r="E17" s="2" t="str">
        <f>IFERROR(VLOOKUP(D17,'👤 Customers'!A:C,2,0),"")</f>
        <v/>
      </c>
      <c r="F17" s="17">
        <v>7</v>
      </c>
      <c r="G17" s="17" t="s">
        <v>192</v>
      </c>
      <c r="H17" s="26">
        <v>46296</v>
      </c>
      <c r="I17" s="19">
        <v>1000000</v>
      </c>
      <c r="J17" s="3">
        <f>IFERROR(SUMIF('💳 PAYMENTS Entery'!L:L,A17,'💳 PAYMENTS Entery'!H:H),0)</f>
        <v>0</v>
      </c>
      <c r="K17" s="3">
        <f t="shared" si="7"/>
        <v>1000000</v>
      </c>
      <c r="L17" s="25" t="str">
        <f ca="1">IFERROR(MAXIFS('💳 PAYMENTS Entery'!C:C,'💳 PAYMENTS Entery'!G:G,C17),"")</f>
        <v/>
      </c>
      <c r="M17" s="59">
        <f t="shared" ca="1" si="3"/>
        <v>0</v>
      </c>
      <c r="N17" s="2" t="str">
        <f t="shared" ca="1" si="8"/>
        <v>Pending</v>
      </c>
      <c r="O17" s="2"/>
      <c r="P17" s="3">
        <f t="shared" ca="1" si="9"/>
        <v>0</v>
      </c>
      <c r="Q17" s="3">
        <f>IFERROR(SUMIF('💳 PAYMENTS Entery'!G:G,C17,'💳 PAYMENTS Entery'!H:H),0)</f>
        <v>0</v>
      </c>
      <c r="R17" s="4">
        <f>IFERROR(Q17/VLOOKUP(C17,'🏘️ Flat Register'!A:H,8,0),0)</f>
        <v>0</v>
      </c>
      <c r="S17" s="17"/>
    </row>
    <row r="18" spans="1:19" ht="15" customHeight="1">
      <c r="A18" s="2" t="str">
        <f t="shared" si="6"/>
        <v>F-202-08</v>
      </c>
      <c r="B18" s="2">
        <f t="shared" si="1"/>
        <v>8</v>
      </c>
      <c r="C18" s="17" t="s">
        <v>651</v>
      </c>
      <c r="D18" s="2" t="str">
        <f>IFERROR(VLOOKUP(C18,'🏘️ Flat Register'!A:M,10,0),"")</f>
        <v/>
      </c>
      <c r="E18" s="2" t="str">
        <f>IFERROR(VLOOKUP(D18,'👤 Customers'!A:C,2,0),"")</f>
        <v/>
      </c>
      <c r="F18" s="17">
        <v>8</v>
      </c>
      <c r="G18" s="17" t="s">
        <v>192</v>
      </c>
      <c r="H18" s="26">
        <v>46327</v>
      </c>
      <c r="I18" s="19">
        <v>150000</v>
      </c>
      <c r="J18" s="3">
        <f>IFERROR(SUMIF('💳 PAYMENTS Entery'!L:L,A18,'💳 PAYMENTS Entery'!H:H),0)</f>
        <v>0</v>
      </c>
      <c r="K18" s="3">
        <f t="shared" si="7"/>
        <v>150000</v>
      </c>
      <c r="L18" s="25" t="str">
        <f ca="1">IFERROR(MAXIFS('💳 PAYMENTS Entery'!C:C,'💳 PAYMENTS Entery'!G:G,C18),"")</f>
        <v/>
      </c>
      <c r="M18" s="59">
        <f t="shared" ca="1" si="3"/>
        <v>0</v>
      </c>
      <c r="N18" s="2" t="str">
        <f t="shared" ca="1" si="8"/>
        <v>Pending</v>
      </c>
      <c r="O18" s="2"/>
      <c r="P18" s="3">
        <f t="shared" ca="1" si="9"/>
        <v>0</v>
      </c>
      <c r="Q18" s="3">
        <f>IFERROR(SUMIF('💳 PAYMENTS Entery'!G:G,C18,'💳 PAYMENTS Entery'!H:H),0)</f>
        <v>0</v>
      </c>
      <c r="R18" s="4">
        <f>IFERROR(Q18/VLOOKUP(C18,'🏘️ Flat Register'!A:H,8,0),0)</f>
        <v>0</v>
      </c>
      <c r="S18" s="17"/>
    </row>
    <row r="19" spans="1:19" ht="15" customHeight="1">
      <c r="A19" s="2" t="str">
        <f t="shared" si="6"/>
        <v>F-202-09</v>
      </c>
      <c r="B19" s="2">
        <f t="shared" si="1"/>
        <v>9</v>
      </c>
      <c r="C19" s="17" t="s">
        <v>651</v>
      </c>
      <c r="D19" s="2" t="str">
        <f>IFERROR(VLOOKUP(C19,'🏘️ Flat Register'!A:M,10,0),"")</f>
        <v/>
      </c>
      <c r="E19" s="2" t="str">
        <f>IFERROR(VLOOKUP(D19,'👤 Customers'!A:C,2,0),"")</f>
        <v/>
      </c>
      <c r="F19" s="17">
        <v>9</v>
      </c>
      <c r="G19" s="17" t="s">
        <v>192</v>
      </c>
      <c r="H19" s="26">
        <v>46357</v>
      </c>
      <c r="I19" s="19">
        <v>150000</v>
      </c>
      <c r="J19" s="3">
        <f>IFERROR(SUMIF('💳 PAYMENTS Entery'!L:L,A19,'💳 PAYMENTS Entery'!H:H),0)</f>
        <v>0</v>
      </c>
      <c r="K19" s="3">
        <f t="shared" si="7"/>
        <v>150000</v>
      </c>
      <c r="L19" s="25" t="str">
        <f ca="1">IFERROR(MAXIFS('💳 PAYMENTS Entery'!C:C,'💳 PAYMENTS Entery'!G:G,C19),"")</f>
        <v/>
      </c>
      <c r="M19" s="59">
        <f t="shared" ca="1" si="3"/>
        <v>0</v>
      </c>
      <c r="N19" s="2" t="str">
        <f t="shared" ca="1" si="8"/>
        <v>Pending</v>
      </c>
      <c r="O19" s="2"/>
      <c r="P19" s="3">
        <f t="shared" ca="1" si="9"/>
        <v>0</v>
      </c>
      <c r="Q19" s="3">
        <f>IFERROR(SUMIF('💳 PAYMENTS Entery'!G:G,C19,'💳 PAYMENTS Entery'!H:H),0)</f>
        <v>0</v>
      </c>
      <c r="R19" s="4">
        <f>IFERROR(Q19/VLOOKUP(C19,'🏘️ Flat Register'!A:H,8,0),0)</f>
        <v>0</v>
      </c>
      <c r="S19" s="17"/>
    </row>
    <row r="20" spans="1:19" ht="15" customHeight="1">
      <c r="A20" s="2" t="str">
        <f t="shared" si="6"/>
        <v>F-202-10</v>
      </c>
      <c r="B20" s="2">
        <f t="shared" si="1"/>
        <v>10</v>
      </c>
      <c r="C20" s="17" t="s">
        <v>651</v>
      </c>
      <c r="D20" s="2" t="str">
        <f>IFERROR(VLOOKUP(C20,'🏘️ Flat Register'!A:M,10,0),"")</f>
        <v/>
      </c>
      <c r="E20" s="2" t="str">
        <f>IFERROR(VLOOKUP(D20,'👤 Customers'!A:C,2,0),"")</f>
        <v/>
      </c>
      <c r="F20" s="17">
        <v>10</v>
      </c>
      <c r="G20" s="17" t="s">
        <v>192</v>
      </c>
      <c r="H20" s="26">
        <v>46388</v>
      </c>
      <c r="I20" s="19">
        <v>150000</v>
      </c>
      <c r="J20" s="3">
        <f>IFERROR(SUMIF('💳 PAYMENTS Entery'!L:L,A20,'💳 PAYMENTS Entery'!H:H),0)</f>
        <v>0</v>
      </c>
      <c r="K20" s="3">
        <f t="shared" si="7"/>
        <v>150000</v>
      </c>
      <c r="L20" s="25" t="str">
        <f ca="1">IFERROR(MAXIFS('💳 PAYMENTS Entery'!C:C,'💳 PAYMENTS Entery'!G:G,C20),"")</f>
        <v/>
      </c>
      <c r="M20" s="59">
        <f t="shared" ca="1" si="3"/>
        <v>0</v>
      </c>
      <c r="N20" s="2" t="str">
        <f t="shared" ca="1" si="8"/>
        <v>Pending</v>
      </c>
      <c r="O20" s="2"/>
      <c r="P20" s="3">
        <f t="shared" ca="1" si="9"/>
        <v>0</v>
      </c>
      <c r="Q20" s="3">
        <f>IFERROR(SUMIF('💳 PAYMENTS Entery'!G:G,C20,'💳 PAYMENTS Entery'!H:H),0)</f>
        <v>0</v>
      </c>
      <c r="R20" s="4">
        <f>IFERROR(Q20/VLOOKUP(C20,'🏘️ Flat Register'!A:H,8,0),0)</f>
        <v>0</v>
      </c>
      <c r="S20" s="17"/>
    </row>
    <row r="21" spans="1:19" ht="15.75" customHeight="1">
      <c r="A21" s="2" t="str">
        <f t="shared" ref="A21:A22" si="10">IF(C21&lt;&gt;"",C21&amp;"-"&amp;TEXT(F21,"00"),"")</f>
        <v>F-202-11</v>
      </c>
      <c r="B21" s="2">
        <f t="shared" ref="B21:B22" si="11">IF(C21&lt;&gt;"",ROW()-10,"")</f>
        <v>11</v>
      </c>
      <c r="C21" s="17" t="s">
        <v>651</v>
      </c>
      <c r="D21" s="2" t="str">
        <f>IFERROR(VLOOKUP(C21,'🏘️ Flat Register'!A:M,10,0),"")</f>
        <v/>
      </c>
      <c r="E21" s="2" t="str">
        <f>IFERROR(VLOOKUP(D21,'👤 Customers'!A:C,2,0),"")</f>
        <v/>
      </c>
      <c r="F21" s="17">
        <v>11</v>
      </c>
      <c r="G21" s="17" t="s">
        <v>192</v>
      </c>
      <c r="H21" s="26">
        <v>46419</v>
      </c>
      <c r="I21" s="19">
        <v>150000</v>
      </c>
      <c r="J21" s="3">
        <f>IFERROR(SUMIF('💳 PAYMENTS Entery'!L:L,A21,'💳 PAYMENTS Entery'!H:H),0)</f>
        <v>0</v>
      </c>
      <c r="K21" s="3">
        <f t="shared" ref="K21:K22" si="12">I21-J21</f>
        <v>150000</v>
      </c>
      <c r="L21" s="25" t="str">
        <f ca="1">IFERROR(MAXIFS('💳 PAYMENTS Entery'!C:C,'💳 PAYMENTS Entery'!G:G,C21),"")</f>
        <v/>
      </c>
      <c r="M21" s="59">
        <f t="shared" ref="M21:M22" ca="1" si="13">IF(J21&gt;=I21,0,IF(L21&lt;&gt;"",MAX(0,L21-H21),MAX(0,TODAY()-H21)))</f>
        <v>0</v>
      </c>
      <c r="N21" s="2" t="str">
        <f t="shared" ref="N21:N22" ca="1" si="14">IF(J21&gt;=I21,"Paid",IF(AND(J21&gt;0,J21&lt;I21),"Partial",IF(TODAY()&gt;H21,"Overdue","Pending")))</f>
        <v>Pending</v>
      </c>
      <c r="O21" s="2"/>
      <c r="P21" s="3">
        <f t="shared" ref="P21:P22" ca="1" si="15">IF(M21&gt;0,ROUND(M21*I21*0.02/30,0),0)</f>
        <v>0</v>
      </c>
      <c r="Q21" s="3">
        <f>IFERROR(SUMIF('💳 PAYMENTS Entery'!G:G,C21,'💳 PAYMENTS Entery'!H:H),0)</f>
        <v>0</v>
      </c>
      <c r="R21" s="4">
        <f>IFERROR(Q21/VLOOKUP(C21,'🏘️ Flat Register'!A:H,8,0),0)</f>
        <v>0</v>
      </c>
      <c r="S21" s="17"/>
    </row>
    <row r="22" spans="1:19" ht="15.75" customHeight="1">
      <c r="A22" s="2" t="str">
        <f t="shared" si="10"/>
        <v>F-202-12</v>
      </c>
      <c r="B22" s="2">
        <f t="shared" si="11"/>
        <v>12</v>
      </c>
      <c r="C22" s="17" t="s">
        <v>651</v>
      </c>
      <c r="D22" s="2" t="str">
        <f>IFERROR(VLOOKUP(C22,'🏘️ Flat Register'!A:M,10,0),"")</f>
        <v/>
      </c>
      <c r="E22" s="2" t="str">
        <f>IFERROR(VLOOKUP(D22,'👤 Customers'!A:C,2,0),"")</f>
        <v/>
      </c>
      <c r="F22" s="17">
        <v>12</v>
      </c>
      <c r="G22" s="17" t="s">
        <v>192</v>
      </c>
      <c r="H22" s="26">
        <v>46447</v>
      </c>
      <c r="I22" s="19">
        <v>150000</v>
      </c>
      <c r="J22" s="3">
        <f>IFERROR(SUMIF('💳 PAYMENTS Entery'!L:L,A22,'💳 PAYMENTS Entery'!H:H),0)</f>
        <v>0</v>
      </c>
      <c r="K22" s="3">
        <f t="shared" si="12"/>
        <v>150000</v>
      </c>
      <c r="L22" s="25" t="str">
        <f ca="1">IFERROR(MAXIFS('💳 PAYMENTS Entery'!C:C,'💳 PAYMENTS Entery'!G:G,C22),"")</f>
        <v/>
      </c>
      <c r="M22" s="59">
        <f t="shared" ca="1" si="13"/>
        <v>0</v>
      </c>
      <c r="N22" s="2" t="str">
        <f t="shared" ca="1" si="14"/>
        <v>Pending</v>
      </c>
      <c r="O22" s="2"/>
      <c r="P22" s="3">
        <f t="shared" ca="1" si="15"/>
        <v>0</v>
      </c>
      <c r="Q22" s="3">
        <f>IFERROR(SUMIF('💳 PAYMENTS Entery'!G:G,C22,'💳 PAYMENTS Entery'!H:H),0)</f>
        <v>0</v>
      </c>
      <c r="R22" s="4">
        <f>IFERROR(Q22/VLOOKUP(C22,'🏘️ Flat Register'!A:H,8,0),0)</f>
        <v>0</v>
      </c>
      <c r="S22" s="17"/>
    </row>
    <row r="23" spans="1:19" ht="15.75" customHeight="1">
      <c r="A23" s="2"/>
      <c r="B23" s="63"/>
      <c r="C23" s="62"/>
      <c r="D23" s="65"/>
      <c r="E23" s="2"/>
      <c r="F23" s="17"/>
      <c r="G23" s="17"/>
      <c r="H23" s="18"/>
      <c r="I23" s="19"/>
      <c r="J23" s="3"/>
      <c r="K23" s="3"/>
      <c r="L23" s="25"/>
      <c r="M23" s="59"/>
      <c r="N23" s="2"/>
      <c r="O23" s="2"/>
      <c r="P23" s="3"/>
      <c r="Q23" s="3"/>
      <c r="R23" s="4"/>
      <c r="S23" s="17"/>
    </row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autoFilter ref="A8:S8">
    <filterColumn colId="14"/>
  </autoFilter>
  <mergeCells count="15">
    <mergeCell ref="R5:U5"/>
    <mergeCell ref="A7:U7"/>
    <mergeCell ref="A9:S9"/>
    <mergeCell ref="A1:U1"/>
    <mergeCell ref="A2:U2"/>
    <mergeCell ref="A3:S3"/>
    <mergeCell ref="E4:H4"/>
    <mergeCell ref="I4:L4"/>
    <mergeCell ref="M4:Q4"/>
    <mergeCell ref="R4:U4"/>
    <mergeCell ref="A4:D4"/>
    <mergeCell ref="A5:D5"/>
    <mergeCell ref="E5:H5"/>
    <mergeCell ref="I5:L5"/>
    <mergeCell ref="M5:Q5"/>
  </mergeCells>
  <conditionalFormatting sqref="A11:S916">
    <cfRule type="expression" dxfId="26" priority="7">
      <formula>$N11="Overdue"</formula>
    </cfRule>
  </conditionalFormatting>
  <conditionalFormatting sqref="N11:O916">
    <cfRule type="cellIs" dxfId="25" priority="8" operator="equal">
      <formula>"Paid"</formula>
    </cfRule>
  </conditionalFormatting>
  <conditionalFormatting sqref="N11:O916">
    <cfRule type="cellIs" dxfId="24" priority="9" operator="equal">
      <formula>"Overdue"</formula>
    </cfRule>
  </conditionalFormatting>
  <conditionalFormatting sqref="N11:O916">
    <cfRule type="cellIs" dxfId="23" priority="10" operator="equal">
      <formula>"Partial"</formula>
    </cfRule>
  </conditionalFormatting>
  <conditionalFormatting sqref="N11:O916">
    <cfRule type="cellIs" dxfId="22" priority="11" operator="equal">
      <formula>"Pending"</formula>
    </cfRule>
  </conditionalFormatting>
  <conditionalFormatting sqref="M11:M23">
    <cfRule type="dataBar" priority="1">
      <dataBar>
        <cfvo type="num" val="0"/>
        <cfvo type="num" val="365"/>
        <color rgb="FFC62828"/>
      </dataBar>
    </cfRule>
  </conditionalFormatting>
  <pageMargins left="0.5" right="0.5" top="0.75" bottom="0.75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style="81" customWidth="1"/>
    <col min="2" max="2" width="14" style="81" customWidth="1"/>
    <col min="3" max="3" width="10" style="81" customWidth="1"/>
    <col min="4" max="4" width="12" style="81" customWidth="1"/>
    <col min="5" max="5" width="24" style="81" customWidth="1"/>
    <col min="6" max="6" width="18" style="81" customWidth="1"/>
    <col min="7" max="8" width="8" style="81" customWidth="1"/>
    <col min="9" max="9" width="12" style="81" customWidth="1"/>
    <col min="10" max="10" width="16" style="81" customWidth="1"/>
    <col min="11" max="12" width="12" style="81" customWidth="1"/>
    <col min="13" max="14" width="16" style="81" customWidth="1"/>
    <col min="15" max="15" width="14" style="81" customWidth="1"/>
    <col min="16" max="16" width="10" style="81" customWidth="1"/>
    <col min="17" max="17" width="16" style="81" customWidth="1"/>
    <col min="18" max="18" width="12" style="81" customWidth="1"/>
    <col min="19" max="20" width="14" style="81" customWidth="1"/>
    <col min="21" max="21" width="25" style="81" customWidth="1"/>
    <col min="22" max="16384" width="9.140625" style="81"/>
  </cols>
  <sheetData>
    <row r="1" spans="1:22" ht="36" customHeight="1">
      <c r="A1" s="205" t="s">
        <v>758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ht="18" customHeight="1">
      <c r="A2" s="207" t="s">
        <v>759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</row>
    <row r="3" spans="1:22" ht="20.100000000000001" customHeight="1">
      <c r="A3" s="208" t="s">
        <v>760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</row>
    <row r="4" spans="1:22" ht="30" customHeight="1">
      <c r="A4" s="82" t="s">
        <v>761</v>
      </c>
      <c r="B4" s="82" t="s">
        <v>587</v>
      </c>
      <c r="C4" s="82" t="s">
        <v>728</v>
      </c>
      <c r="D4" s="82" t="s">
        <v>372</v>
      </c>
      <c r="E4" s="82" t="s">
        <v>721</v>
      </c>
      <c r="F4" s="82" t="s">
        <v>762</v>
      </c>
      <c r="G4" s="82" t="s">
        <v>763</v>
      </c>
      <c r="H4" s="82" t="s">
        <v>764</v>
      </c>
      <c r="I4" s="82" t="s">
        <v>765</v>
      </c>
      <c r="J4" s="82" t="s">
        <v>697</v>
      </c>
      <c r="K4" s="82" t="s">
        <v>698</v>
      </c>
      <c r="L4" s="82" t="s">
        <v>699</v>
      </c>
      <c r="M4" s="82" t="s">
        <v>700</v>
      </c>
      <c r="N4" s="82" t="s">
        <v>766</v>
      </c>
      <c r="O4" s="82" t="s">
        <v>767</v>
      </c>
      <c r="P4" s="82" t="s">
        <v>768</v>
      </c>
      <c r="Q4" s="82" t="s">
        <v>769</v>
      </c>
      <c r="R4" s="82" t="s">
        <v>770</v>
      </c>
      <c r="S4" s="82" t="s">
        <v>701</v>
      </c>
      <c r="T4" s="82" t="s">
        <v>771</v>
      </c>
      <c r="U4" s="82" t="s">
        <v>156</v>
      </c>
    </row>
    <row r="5" spans="1:22" ht="18.95" customHeight="1">
      <c r="A5" s="89" t="str">
        <f>IF(C5&lt;&gt;"","BK-"&amp;TEXT(C5,"000"),"")</f>
        <v>BK-302</v>
      </c>
      <c r="B5" s="90">
        <v>44927</v>
      </c>
      <c r="C5" s="89">
        <v>302</v>
      </c>
      <c r="D5" s="89" t="s">
        <v>158</v>
      </c>
      <c r="E5" s="83" t="str">
        <f>IFERROR(INDEX('👤 Customers'!C5:C5231,MATCH(D5,'👤 Customers'!A5:A5233)),"")</f>
        <v>Zulfiqar Ali Sapro</v>
      </c>
      <c r="F5" s="83" t="str">
        <f>IFERROR(INDEX('🏘️ Flat Register'!B8:B18,MATCH(C5,'🏘️ Flat Register'!E8:E18,0)),"")</f>
        <v>PRJ-001</v>
      </c>
      <c r="G5" s="83" t="str">
        <f>IFERROR(INDEX('🏘️ Flat Register'!C8:C18,MATCH(C5,'🏘️ Flat Register'!E8:E18,0)),"")</f>
        <v>A</v>
      </c>
      <c r="H5" s="83" t="str">
        <f>IFERROR(INDEX('🏘️ Flat Register'!D8:D18,MATCH(C5,'🏘️ Flat Register'!E8:E18,0)),"")</f>
        <v xml:space="preserve">3rd </v>
      </c>
      <c r="I5" s="83">
        <f>IFERROR(INDEX('🏘️ Flat Register'!F8:F18,MATCH(C5,'🏘️ Flat Register'!E8:E18,0)),"")</f>
        <v>756</v>
      </c>
      <c r="J5" s="84">
        <f>IFERROR(INDEX('🏘️ Flat Register'!H8:H18,MATCH(C5,'🏘️ Flat Register'!E8:E18,0)),0)</f>
        <v>5670000</v>
      </c>
      <c r="K5" s="91">
        <v>0</v>
      </c>
      <c r="L5" s="91">
        <v>0</v>
      </c>
      <c r="M5" s="84">
        <f>J5+K5-L5</f>
        <v>5670000</v>
      </c>
      <c r="N5" s="92" t="s">
        <v>772</v>
      </c>
      <c r="O5" s="89" t="s">
        <v>773</v>
      </c>
      <c r="P5" s="93">
        <v>11</v>
      </c>
      <c r="Q5" s="84">
        <f>IFERROR((M5-N5)/P5,0)</f>
        <v>0</v>
      </c>
      <c r="R5" s="89" t="s">
        <v>190</v>
      </c>
      <c r="S5" s="89" t="s">
        <v>704</v>
      </c>
      <c r="T5" s="94" t="s">
        <v>122</v>
      </c>
      <c r="U5" s="89"/>
    </row>
    <row r="6" spans="1:22" ht="18.95" customHeight="1">
      <c r="A6" s="89" t="str">
        <f>IF(C6&lt;&gt;"","BK-"&amp;TEXT(C6,"000"),"")</f>
        <v>BK-401</v>
      </c>
      <c r="B6" s="90">
        <v>44927</v>
      </c>
      <c r="C6" s="89">
        <v>401</v>
      </c>
      <c r="D6" s="89" t="s">
        <v>161</v>
      </c>
      <c r="E6" s="83" t="str">
        <f>IFERROR(INDEX('👤 Customers'!C6:C5232,MATCH(D6,'👤 Customers'!A6:A5234)),"")</f>
        <v xml:space="preserve">Sharjeel </v>
      </c>
      <c r="F6" s="83" t="str">
        <f>IFERROR(INDEX('🏘️ Flat Register'!B9:B19,MATCH(C6,'🏘️ Flat Register'!E9:E19,0)),"")</f>
        <v>PRJ-001</v>
      </c>
      <c r="G6" s="83" t="str">
        <f>IFERROR(INDEX('🏘️ Flat Register'!C9:C19,MATCH(C6,'🏘️ Flat Register'!E9:E19,0)),"")</f>
        <v>B</v>
      </c>
      <c r="H6" s="83" t="str">
        <f>IFERROR(INDEX('🏘️ Flat Register'!D9:D19,MATCH(C6,'🏘️ Flat Register'!E9:E19,0)),"")</f>
        <v>4th</v>
      </c>
      <c r="I6" s="83">
        <f>IFERROR(INDEX('🏘️ Flat Register'!F9:F19,MATCH(C6,'🏘️ Flat Register'!E9:E19,0)),"")</f>
        <v>522</v>
      </c>
      <c r="J6" s="84">
        <f>IFERROR(INDEX('🏘️ Flat Register'!H9:H19,MATCH(C6,'🏘️ Flat Register'!E9:E19,0)),0)</f>
        <v>3915000</v>
      </c>
      <c r="K6" s="91">
        <v>0</v>
      </c>
      <c r="L6" s="91">
        <v>0</v>
      </c>
      <c r="M6" s="84">
        <f>J6+K6-L6</f>
        <v>3915000</v>
      </c>
      <c r="N6" s="92" t="s">
        <v>772</v>
      </c>
      <c r="O6" s="89" t="s">
        <v>773</v>
      </c>
      <c r="P6" s="93">
        <v>11</v>
      </c>
      <c r="Q6" s="84">
        <f>IFERROR((M6-N6)/P6,0)</f>
        <v>0</v>
      </c>
      <c r="R6" s="89" t="s">
        <v>190</v>
      </c>
      <c r="S6" s="89" t="s">
        <v>704</v>
      </c>
      <c r="T6" s="94" t="s">
        <v>122</v>
      </c>
      <c r="U6" s="89"/>
    </row>
  </sheetData>
  <autoFilter ref="A4:U4"/>
  <mergeCells count="3">
    <mergeCell ref="A1:V1"/>
    <mergeCell ref="A2:V2"/>
    <mergeCell ref="A3:V3"/>
  </mergeCells>
  <dataValidations count="1">
    <dataValidation type="list" sqref="T5:T5000">
      <formula1>"Active,Cancelled,Transferred,Completed"</formula1>
    </dataValidation>
  </dataValidations>
  <pageMargins left="0.5" right="0.5" top="0.75" bottom="0.75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7"/>
  <sheetViews>
    <sheetView showGridLines="0" topLeftCell="A19" workbookViewId="0">
      <selection activeCell="B5" sqref="B5"/>
    </sheetView>
  </sheetViews>
  <sheetFormatPr defaultRowHeight="15"/>
  <cols>
    <col min="1" max="1" width="14" style="81" customWidth="1"/>
    <col min="2" max="2" width="12.85546875" style="81" customWidth="1"/>
    <col min="3" max="3" width="12" style="81" customWidth="1"/>
    <col min="4" max="4" width="14.7109375" style="81" customWidth="1"/>
    <col min="5" max="5" width="13.85546875" style="81" customWidth="1"/>
    <col min="6" max="6" width="15.5703125" style="81" customWidth="1"/>
    <col min="7" max="7" width="10" style="81" customWidth="1"/>
    <col min="8" max="8" width="1.42578125" style="81" customWidth="1"/>
    <col min="9" max="9" width="12" style="81" customWidth="1"/>
    <col min="10" max="10" width="10" style="81" customWidth="1"/>
    <col min="11" max="11" width="15.5703125" style="81" customWidth="1"/>
    <col min="12" max="12" width="13.7109375" style="81" bestFit="1" customWidth="1"/>
    <col min="13" max="13" width="12" style="81" customWidth="1"/>
    <col min="14" max="16384" width="9.140625" style="81"/>
  </cols>
  <sheetData>
    <row r="1" spans="1:19" ht="36" customHeight="1">
      <c r="A1" s="205" t="s">
        <v>856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19" ht="18" customHeight="1">
      <c r="A2" s="207" t="s">
        <v>781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</row>
    <row r="3" spans="1:19" ht="21.95" customHeight="1" thickBot="1">
      <c r="A3" s="215" t="s">
        <v>782</v>
      </c>
      <c r="B3" s="206"/>
    </row>
    <row r="4" spans="1:19" ht="27.95" customHeight="1" thickBot="1">
      <c r="A4" s="104" t="s">
        <v>783</v>
      </c>
      <c r="B4" s="105">
        <v>500</v>
      </c>
    </row>
    <row r="6" spans="1:19" ht="27.95" customHeight="1">
      <c r="A6" s="216" t="s">
        <v>855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</row>
    <row r="7" spans="1:19" ht="15.95" customHeight="1">
      <c r="A7" s="217" t="s">
        <v>784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</row>
    <row r="8" spans="1:19" ht="15.95" customHeight="1"/>
    <row r="9" spans="1:19" ht="18" customHeight="1">
      <c r="A9" s="213" t="s">
        <v>785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</row>
    <row r="10" spans="1:19" ht="18" customHeight="1">
      <c r="A10" s="211" t="s">
        <v>786</v>
      </c>
      <c r="B10" s="206"/>
      <c r="C10" s="212" t="str">
        <f>IFERROR(INDEX('👤 Customers'!B:B,MATCH(IFERROR(INDEX('🏘️ Flat Register'!M:M,MATCH($B$4,'🏘️ Flat Register'!E:E,0)),""),'👤 Customers'!A:A,0)),"")</f>
        <v>AB-Sachal-GH/2024/2/2024</v>
      </c>
      <c r="D10" s="206"/>
      <c r="E10" s="206"/>
      <c r="F10" s="206"/>
      <c r="G10" s="206"/>
      <c r="I10" s="211" t="s">
        <v>727</v>
      </c>
      <c r="J10" s="206"/>
      <c r="K10" s="212" t="str">
        <f>IFERROR(INDEX('👤 Customers'!F:F,MATCH(IFERROR(INDEX('🏘️ Flat Register'!M:M,MATCH($B$4,'🏘️ Flat Register'!E:E,0)),""),'👤 Customers'!A:A,0)),"")</f>
        <v>03001234567</v>
      </c>
      <c r="L10" s="206"/>
      <c r="M10" s="206"/>
      <c r="N10" s="206"/>
      <c r="O10" s="206"/>
    </row>
    <row r="11" spans="1:19" ht="18" customHeight="1">
      <c r="A11" s="211" t="s">
        <v>787</v>
      </c>
      <c r="B11" s="206"/>
      <c r="C11" s="212" t="str">
        <f>IFERROR(INDEX('👤 Customers'!C:C,MATCH(IFERROR(INDEX('🏘️ Flat Register'!M:M,MATCH($B$4,'🏘️ Flat Register'!E:E,0)),""),'👤 Customers'!A:A,0)),"")</f>
        <v>aiman</v>
      </c>
      <c r="D11" s="206"/>
      <c r="E11" s="206"/>
      <c r="F11" s="206"/>
      <c r="G11" s="206"/>
      <c r="I11" s="211" t="s">
        <v>788</v>
      </c>
      <c r="J11" s="206"/>
      <c r="K11" s="212" t="str">
        <f>IFERROR(INDEX('👤 Customers'!G:G,MATCH(IFERROR(INDEX('🏘️ Flat Register'!M:M,MATCH($B$4,'🏘️ Flat Register'!E:E,0)),""),'👤 Customers'!A:A,0)),"")</f>
        <v>03001234567</v>
      </c>
      <c r="L11" s="206"/>
      <c r="M11" s="206"/>
      <c r="N11" s="206"/>
      <c r="O11" s="206"/>
    </row>
    <row r="12" spans="1:19" ht="18" customHeight="1">
      <c r="A12" s="211" t="s">
        <v>789</v>
      </c>
      <c r="B12" s="206"/>
      <c r="C12" s="212" t="str">
        <f>IFERROR(INDEX('👤 Customers'!D:D,MATCH(IFERROR(INDEX('🏘️ Flat Register'!M:M,MATCH($B$4,'🏘️ Flat Register'!E:E,0)),""),'👤 Customers'!A:A,0)),"")</f>
        <v>soomro</v>
      </c>
      <c r="D12" s="206"/>
      <c r="E12" s="206"/>
      <c r="F12" s="206"/>
      <c r="G12" s="206"/>
      <c r="I12" s="211" t="s">
        <v>790</v>
      </c>
      <c r="J12" s="206"/>
      <c r="K12" s="212" t="str">
        <f>IFERROR(INDEX('👤 Customers'!H:H,MATCH(IFERROR(INDEX('🏘️ Flat Register'!M:M,MATCH($B$4,'🏘️ Flat Register'!E:E,0)),""),'👤 Customers'!A:A,0)),"")</f>
        <v>ali@email.com</v>
      </c>
      <c r="L12" s="206"/>
      <c r="M12" s="206"/>
      <c r="N12" s="206"/>
      <c r="O12" s="206"/>
    </row>
    <row r="13" spans="1:19" ht="18" customHeight="1">
      <c r="A13" s="211" t="s">
        <v>791</v>
      </c>
      <c r="B13" s="206"/>
      <c r="C13" s="212" t="str">
        <f>IFERROR(INDEX('👤 Customers'!E:E,MATCH(IFERROR(INDEX('🏘️ Flat Register'!M:M,MATCH($B$4,'🏘️ Flat Register'!E:E,0)),""),'👤 Customers'!A:A,0)),"")</f>
        <v>42101-1234567-1</v>
      </c>
      <c r="D13" s="206"/>
      <c r="E13" s="206"/>
      <c r="F13" s="206"/>
      <c r="G13" s="206"/>
    </row>
    <row r="14" spans="1:19" ht="18" customHeight="1">
      <c r="A14" s="211" t="s">
        <v>168</v>
      </c>
      <c r="B14" s="206"/>
      <c r="C14" s="212" t="str">
        <f>IFERROR(INDEX('👤 Customers'!I:I,MATCH(IFERROR(INDEX('🏘️ Flat Register'!M:M,MATCH($B$4,'🏘️ Flat Register'!E:E,0)),""),'👤 Customers'!A:A,0)),"")</f>
        <v>House 5 Block A North Nazimabad</v>
      </c>
      <c r="D14" s="206"/>
      <c r="E14" s="206"/>
      <c r="F14" s="206"/>
      <c r="G14" s="206"/>
    </row>
    <row r="15" spans="1:19" ht="18" customHeight="1">
      <c r="A15" s="213" t="s">
        <v>792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</row>
    <row r="16" spans="1:19" ht="18" customHeight="1">
      <c r="A16" s="211" t="s">
        <v>695</v>
      </c>
      <c r="B16" s="206"/>
      <c r="C16" s="212" t="str">
        <f>IFERROR(INDEX('🏗️ Projects'!B:B,MATCH(IFERROR(INDEX('🏘️ Flat Register'!B:B,MATCH($B$4,'🏘️ Flat Register'!E:E,0)),""),'🏗️ Projects'!A:A,0)),"")</f>
        <v>Marora Residency</v>
      </c>
      <c r="D16" s="206"/>
      <c r="E16" s="206"/>
      <c r="F16" s="206"/>
      <c r="G16" s="206"/>
      <c r="I16" s="211" t="s">
        <v>793</v>
      </c>
      <c r="J16" s="206"/>
      <c r="K16" s="206"/>
      <c r="L16" s="212" t="str">
        <f>IFERROR(INDEX('🏗️ Projects'!E:E,MATCH(IFERROR(INDEX('🏘️ Flat Register'!B:B,MATCH($B$4,'🏘️ Flat Register'!E:E,0)),""),'🏗️ Projects'!A:A,0)),"")</f>
        <v>15-01-2026</v>
      </c>
      <c r="M16" s="206"/>
      <c r="N16" s="206"/>
      <c r="O16" s="206"/>
    </row>
    <row r="17" spans="1:15" ht="18" customHeight="1">
      <c r="A17" s="211" t="s">
        <v>696</v>
      </c>
      <c r="B17" s="206"/>
      <c r="C17" s="212" t="str">
        <f>IFERROR(INDEX('🏘️ Flat Register'!C:C,MATCH($B$4,'🏘️ Flat Register'!E:E,0)),"")</f>
        <v>Panthouse</v>
      </c>
      <c r="D17" s="206"/>
      <c r="E17" s="206"/>
      <c r="F17" s="206"/>
      <c r="G17" s="206"/>
      <c r="I17" s="211" t="s">
        <v>587</v>
      </c>
      <c r="J17" s="206"/>
      <c r="K17" s="206"/>
      <c r="L17" s="212" t="str">
        <f>IFERROR(INDEX('🏘️ Flat Register'!O:O,MATCH($B$4,'🏘️ Flat Register'!E:E,0)),"")</f>
        <v>15-06-2026</v>
      </c>
      <c r="M17" s="206"/>
      <c r="N17" s="206"/>
      <c r="O17" s="206"/>
    </row>
    <row r="18" spans="1:15" ht="18" customHeight="1">
      <c r="A18" s="211" t="s">
        <v>106</v>
      </c>
      <c r="B18" s="206"/>
      <c r="C18" s="212" t="s">
        <v>794</v>
      </c>
      <c r="D18" s="206"/>
      <c r="E18" s="206"/>
      <c r="F18" s="206"/>
      <c r="G18" s="206"/>
      <c r="I18" s="211" t="s">
        <v>701</v>
      </c>
      <c r="J18" s="206"/>
      <c r="K18" s="206"/>
      <c r="L18" s="212" t="str">
        <f>IFERROR(INDEX('🏘️ Flat Register'!W:W,MATCH($B$4,'🏘️ Flat Register'!E:E,0)),"")</f>
        <v>31-12-2027</v>
      </c>
      <c r="M18" s="206"/>
      <c r="N18" s="206"/>
      <c r="O18" s="206"/>
    </row>
    <row r="19" spans="1:15" ht="18" customHeight="1">
      <c r="A19" s="211" t="s">
        <v>694</v>
      </c>
      <c r="B19" s="206"/>
      <c r="C19" s="212">
        <f>$B$4</f>
        <v>500</v>
      </c>
      <c r="D19" s="206"/>
      <c r="E19" s="206"/>
      <c r="F19" s="206"/>
      <c r="G19" s="206"/>
      <c r="I19" s="211" t="s">
        <v>702</v>
      </c>
      <c r="J19" s="206"/>
      <c r="K19" s="206"/>
      <c r="L19" s="212" t="str">
        <f>IFERROR(INDEX('🏘️ Flat Register'!X:X,MATCH($B$4,'🏘️ Flat Register'!E:E,0)),"")</f>
        <v>31-12-2027</v>
      </c>
      <c r="M19" s="206"/>
      <c r="N19" s="206"/>
      <c r="O19" s="206"/>
    </row>
    <row r="20" spans="1:15" ht="18" customHeight="1">
      <c r="A20" s="211" t="s">
        <v>105</v>
      </c>
      <c r="B20" s="206"/>
      <c r="C20" s="212" t="str">
        <f>IFERROR(INDEX('🏘️ Flat Register'!C:C,MATCH($B$4,'🏘️ Flat Register'!E:E,0)),"")</f>
        <v>Panthouse</v>
      </c>
      <c r="D20" s="206"/>
      <c r="E20" s="206"/>
      <c r="F20" s="206"/>
      <c r="G20" s="206"/>
    </row>
    <row r="21" spans="1:15" ht="18" customHeight="1">
      <c r="A21" s="211" t="s">
        <v>795</v>
      </c>
      <c r="B21" s="206"/>
      <c r="C21" s="212" t="str">
        <f>IFERROR(INDEX('🏘️ Flat Register'!F:F,MATCH($B$4,'🏘️ Flat Register'!E:E,0)),"")&amp;" Sqyard"</f>
        <v>1278 Sqyard</v>
      </c>
      <c r="D21" s="206"/>
      <c r="E21" s="206"/>
      <c r="F21" s="206"/>
      <c r="G21" s="206"/>
    </row>
    <row r="22" spans="1:15" ht="18" customHeight="1">
      <c r="A22" s="211" t="s">
        <v>584</v>
      </c>
      <c r="B22" s="206"/>
      <c r="C22" s="212" t="str">
        <f>IFERROR(INDEX('🏘️ Flat Register'!D:D,MATCH($B$4,'🏘️ Flat Register'!E:E,0)),"")</f>
        <v>5th</v>
      </c>
      <c r="D22" s="206"/>
      <c r="E22" s="206"/>
      <c r="F22" s="206"/>
      <c r="G22" s="206"/>
    </row>
    <row r="23" spans="1:15" ht="18" customHeight="1">
      <c r="A23" s="213" t="s">
        <v>796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</row>
    <row r="24" spans="1:15" ht="20.100000000000001" customHeight="1">
      <c r="A24" s="106" t="s">
        <v>797</v>
      </c>
      <c r="B24" s="106" t="s">
        <v>698</v>
      </c>
      <c r="C24" s="106" t="s">
        <v>699</v>
      </c>
      <c r="D24" s="107"/>
      <c r="E24" s="106" t="s">
        <v>798</v>
      </c>
      <c r="F24" s="106" t="s">
        <v>799</v>
      </c>
      <c r="G24" s="106" t="s">
        <v>800</v>
      </c>
      <c r="I24" s="107"/>
      <c r="J24" s="106" t="s">
        <v>801</v>
      </c>
      <c r="K24" s="106" t="s">
        <v>802</v>
      </c>
      <c r="L24" s="106" t="s">
        <v>803</v>
      </c>
    </row>
    <row r="25" spans="1:15" ht="21.95" customHeight="1">
      <c r="A25" s="108">
        <f>IFERROR(INDEX('🏘️ Flat Register'!H:H,MATCH($B$4,'🏘️ Flat Register'!E:E,0)),0)</f>
        <v>9585000</v>
      </c>
      <c r="B25" s="108">
        <f>IFERROR(INDEX('🏘️ Flat Register'!I:I,MATCH($B$4,'🏘️ Flat Register'!E:E,0)),0)</f>
        <v>150000</v>
      </c>
      <c r="C25" s="108">
        <f>IFERROR(INDEX('🏘️ Flat Register'!J:J,MATCH($B$4,'🏘️ Flat Register'!E:E,0)),0)</f>
        <v>25000</v>
      </c>
      <c r="D25" s="109"/>
      <c r="E25" s="108">
        <f>IFERROR(INDEX('🏘️ Flat Register'!K:K,MATCH($B$4,'🏘️ Flat Register'!E:E,0)),0)</f>
        <v>9710000</v>
      </c>
      <c r="F25" s="108">
        <f>IFERROR(SUMIF('💳 PAYMENTS Entery'!G:G,$B$4,'💳 PAYMENTS Entery'!H:H),0)</f>
        <v>0</v>
      </c>
      <c r="G25" s="108" t="s">
        <v>495</v>
      </c>
      <c r="I25" s="109"/>
      <c r="J25" s="108" t="s">
        <v>495</v>
      </c>
      <c r="K25" s="108">
        <f>IFERROR(INDEX('🏘️ Flat Register'!K:K,MATCH($B$4,'🏘️ Flat Register'!A:A,0)),0)-IFERROR(SUMIF('💳 PAYMENTS Entery'!G:G,$B$4,'💳 PAYMENTS Entery'!H:H),0)</f>
        <v>9710000</v>
      </c>
      <c r="L25" s="108">
        <f ca="1">IFERROR(SUMIFS('💳 PAYMENTS Entery'!H:H,'💳 PAYMENTS Entery'!G:G,$B$4,'💳 PAYMENTS Entery'!C:C,"&lt;"&amp;TODAY()),0)</f>
        <v>0</v>
      </c>
    </row>
    <row r="26" spans="1:15" ht="20.100000000000001" customHeight="1"/>
    <row r="27" spans="1:15" ht="24" customHeight="1">
      <c r="A27" s="82" t="s">
        <v>804</v>
      </c>
      <c r="B27" s="82" t="s">
        <v>805</v>
      </c>
      <c r="C27" s="82" t="s">
        <v>806</v>
      </c>
      <c r="D27" s="82" t="s">
        <v>807</v>
      </c>
      <c r="E27" s="82" t="s">
        <v>799</v>
      </c>
      <c r="F27" s="82" t="s">
        <v>808</v>
      </c>
      <c r="G27" s="82" t="s">
        <v>809</v>
      </c>
      <c r="I27" s="82" t="s">
        <v>810</v>
      </c>
      <c r="J27" s="82" t="s">
        <v>756</v>
      </c>
      <c r="K27" s="82" t="s">
        <v>811</v>
      </c>
      <c r="L27" s="82" t="s">
        <v>812</v>
      </c>
      <c r="M27" s="82" t="s">
        <v>813</v>
      </c>
    </row>
    <row r="28" spans="1:15" ht="18.95" customHeight="1">
      <c r="A28" s="94" t="s">
        <v>814</v>
      </c>
      <c r="B28" s="94"/>
      <c r="C28" s="94"/>
      <c r="D28" s="110"/>
      <c r="E28" s="110"/>
      <c r="F28" s="110"/>
      <c r="G28" s="94"/>
      <c r="I28" s="94"/>
      <c r="J28" s="94"/>
      <c r="K28" s="94"/>
      <c r="L28" s="94"/>
      <c r="M28" s="94"/>
    </row>
    <row r="29" spans="1:15" ht="18.95" customHeight="1">
      <c r="A29" s="111" t="s">
        <v>735</v>
      </c>
      <c r="B29" s="111"/>
      <c r="C29" s="85">
        <f>IFERROR(SUMIF('[2]💳 Payment Entry'!G:G,"Membership Fee",'[2]💳 Payment Entry'!H:H),0)</f>
        <v>500000</v>
      </c>
      <c r="D29" s="86">
        <f>IFERROR(SUMIF('[2]💳 Payment Entry'!G:G,"Membership Fee",'[2]💳 Payment Entry'!H:H),0)</f>
        <v>500000</v>
      </c>
      <c r="E29" s="112">
        <v>0</v>
      </c>
      <c r="F29" s="113"/>
      <c r="G29" s="111" t="s">
        <v>734</v>
      </c>
      <c r="I29" s="114">
        <v>45787</v>
      </c>
      <c r="J29" s="111" t="s">
        <v>815</v>
      </c>
      <c r="K29" s="111"/>
      <c r="L29" s="111">
        <v>350000</v>
      </c>
    </row>
    <row r="30" spans="1:15" ht="18.95" customHeight="1">
      <c r="A30" s="94" t="s">
        <v>738</v>
      </c>
      <c r="B30" s="94"/>
      <c r="C30" s="83">
        <f>IFERROR(SUMIF('[2]💳 Payment Entry'!G:G,"Confirmation",'[2]💳 Payment Entry'!H:H),0)</f>
        <v>500000</v>
      </c>
      <c r="D30" s="84">
        <f>IFERROR(SUMIF('[2]💳 Payment Entry'!G:G,"Confirmation",'[2]💳 Payment Entry'!H:H),0)</f>
        <v>500000</v>
      </c>
      <c r="E30" s="115">
        <v>0</v>
      </c>
      <c r="F30" s="110"/>
      <c r="G30" s="94" t="s">
        <v>737</v>
      </c>
      <c r="I30" s="94" t="s">
        <v>736</v>
      </c>
      <c r="J30" s="94"/>
      <c r="K30" s="94"/>
      <c r="L30" s="94" t="s">
        <v>816</v>
      </c>
    </row>
    <row r="31" spans="1:15" ht="18.95" customHeight="1">
      <c r="A31" s="111" t="s">
        <v>739</v>
      </c>
      <c r="B31" s="111"/>
      <c r="C31" s="85">
        <f>IFERROR(SUMIF('[2]💳 Payment Entry'!G:G,"Allocation",'[2]💳 Payment Entry'!H:H),0)</f>
        <v>500000</v>
      </c>
      <c r="D31" s="86">
        <f>IFERROR(SUMIF('[2]💳 Payment Entry'!G:G,"Allocation",'[2]💳 Payment Entry'!H:H),0)</f>
        <v>500000</v>
      </c>
      <c r="E31" s="112">
        <v>0</v>
      </c>
      <c r="F31" s="113"/>
      <c r="G31" s="111" t="s">
        <v>817</v>
      </c>
      <c r="I31" s="111" t="s">
        <v>736</v>
      </c>
      <c r="J31" s="111"/>
      <c r="K31" s="111"/>
      <c r="L31" s="111" t="s">
        <v>816</v>
      </c>
    </row>
    <row r="32" spans="1:15" ht="18.95" customHeight="1">
      <c r="A32" s="94" t="s">
        <v>818</v>
      </c>
      <c r="B32" s="94"/>
      <c r="C32" s="94"/>
      <c r="D32" s="110" t="s">
        <v>495</v>
      </c>
      <c r="E32" s="110"/>
      <c r="F32" s="110"/>
      <c r="G32" s="94" t="s">
        <v>740</v>
      </c>
      <c r="I32" s="94" t="s">
        <v>205</v>
      </c>
      <c r="J32" s="94"/>
      <c r="K32" s="94"/>
      <c r="L32" s="94" t="s">
        <v>816</v>
      </c>
    </row>
    <row r="33" spans="1:15" ht="18.95" customHeight="1">
      <c r="A33" s="111" t="s">
        <v>741</v>
      </c>
      <c r="B33" s="111" t="s">
        <v>819</v>
      </c>
      <c r="C33" s="111" t="s">
        <v>820</v>
      </c>
      <c r="D33" s="112">
        <v>350000</v>
      </c>
      <c r="E33" s="86">
        <f>IFERROR(SUMIFS('[2]💳 Payment Entry'!H:H,'[2]💳 Payment Entry'!D:D,$B$4,'[2]💳 Payment Entry'!G:G,"Installment 1"),0)</f>
        <v>0</v>
      </c>
      <c r="F33" s="113">
        <v>0</v>
      </c>
      <c r="G33" s="111"/>
      <c r="I33" s="111" t="s">
        <v>821</v>
      </c>
      <c r="J33" s="111" t="s">
        <v>736</v>
      </c>
      <c r="K33" s="111"/>
      <c r="L33" s="111"/>
      <c r="M33" s="111" t="s">
        <v>822</v>
      </c>
    </row>
    <row r="34" spans="1:15" ht="18.95" customHeight="1">
      <c r="A34" s="94" t="s">
        <v>741</v>
      </c>
      <c r="B34" s="94" t="s">
        <v>823</v>
      </c>
      <c r="C34" s="94" t="s">
        <v>824</v>
      </c>
      <c r="D34" s="115">
        <v>350000</v>
      </c>
      <c r="E34" s="84">
        <f>IFERROR(SUMIFS('[2]💳 Payment Entry'!H:H,'[2]💳 Payment Entry'!D:D,$B$4,'[2]💳 Payment Entry'!G:G,"Installment 2"),0)</f>
        <v>0</v>
      </c>
      <c r="F34" s="110">
        <v>0</v>
      </c>
      <c r="G34" s="94"/>
      <c r="I34" s="94" t="s">
        <v>742</v>
      </c>
      <c r="J34" s="94" t="s">
        <v>736</v>
      </c>
      <c r="K34" s="94"/>
      <c r="L34" s="94"/>
      <c r="M34" s="94" t="s">
        <v>825</v>
      </c>
    </row>
    <row r="35" spans="1:15" ht="18.95" customHeight="1">
      <c r="A35" s="111" t="s">
        <v>741</v>
      </c>
      <c r="B35" s="111" t="s">
        <v>826</v>
      </c>
      <c r="C35" s="111" t="s">
        <v>827</v>
      </c>
      <c r="D35" s="112">
        <v>350000</v>
      </c>
      <c r="E35" s="86">
        <f>IFERROR(SUMIFS('[2]💳 Payment Entry'!H:H,'[2]💳 Payment Entry'!D:D,$B$4,'[2]💳 Payment Entry'!G:G,"Installment 3"),0)</f>
        <v>0</v>
      </c>
      <c r="F35" s="113">
        <v>0</v>
      </c>
      <c r="G35" s="111"/>
      <c r="I35" s="111" t="s">
        <v>828</v>
      </c>
      <c r="J35" s="111" t="s">
        <v>736</v>
      </c>
      <c r="K35" s="111"/>
      <c r="L35" s="111"/>
      <c r="M35" s="111" t="s">
        <v>829</v>
      </c>
    </row>
    <row r="36" spans="1:15" ht="18.95" customHeight="1">
      <c r="A36" s="94" t="s">
        <v>741</v>
      </c>
      <c r="B36" s="94" t="s">
        <v>830</v>
      </c>
      <c r="C36" s="94" t="s">
        <v>831</v>
      </c>
      <c r="D36" s="115">
        <v>350000</v>
      </c>
      <c r="E36" s="84">
        <f>IFERROR(SUMIFS('[2]💳 Payment Entry'!H:H,'[2]💳 Payment Entry'!D:D,$B$4,'[2]💳 Payment Entry'!G:G,"Installment 4"),0)</f>
        <v>0</v>
      </c>
      <c r="F36" s="110">
        <v>0</v>
      </c>
      <c r="G36" s="94"/>
      <c r="I36" s="94"/>
      <c r="J36" s="94"/>
      <c r="K36" s="94"/>
      <c r="L36" s="94"/>
      <c r="M36" s="94"/>
    </row>
    <row r="37" spans="1:15" ht="18.95" customHeight="1">
      <c r="A37" s="111" t="s">
        <v>741</v>
      </c>
      <c r="B37" s="111" t="s">
        <v>832</v>
      </c>
      <c r="C37" s="111" t="s">
        <v>833</v>
      </c>
      <c r="D37" s="112">
        <v>350000</v>
      </c>
      <c r="E37" s="112">
        <v>0</v>
      </c>
      <c r="F37" s="86">
        <f t="shared" ref="F37:F39" si="0">D38-E38</f>
        <v>300000</v>
      </c>
      <c r="G37" s="111"/>
      <c r="I37" s="111"/>
      <c r="J37" s="111"/>
      <c r="K37" s="111"/>
      <c r="L37" s="111"/>
      <c r="M37" s="111"/>
    </row>
    <row r="38" spans="1:15" ht="18.95" customHeight="1">
      <c r="A38" s="94" t="s">
        <v>741</v>
      </c>
      <c r="B38" s="94" t="s">
        <v>834</v>
      </c>
      <c r="C38" s="94" t="s">
        <v>835</v>
      </c>
      <c r="D38" s="115">
        <v>350000</v>
      </c>
      <c r="E38" s="115">
        <v>50000</v>
      </c>
      <c r="F38" s="84">
        <f t="shared" si="0"/>
        <v>350000</v>
      </c>
      <c r="G38" s="116">
        <v>300000</v>
      </c>
      <c r="I38" s="94"/>
      <c r="J38" s="94"/>
      <c r="K38" s="94"/>
      <c r="L38" s="94"/>
      <c r="M38" s="94"/>
    </row>
    <row r="39" spans="1:15" ht="18.95" customHeight="1">
      <c r="A39" s="111" t="s">
        <v>741</v>
      </c>
      <c r="B39" s="111" t="s">
        <v>836</v>
      </c>
      <c r="C39" s="111" t="s">
        <v>837</v>
      </c>
      <c r="D39" s="112">
        <v>350000</v>
      </c>
      <c r="E39" s="112">
        <v>0</v>
      </c>
      <c r="F39" s="86">
        <f t="shared" si="0"/>
        <v>350000</v>
      </c>
      <c r="G39" s="111"/>
      <c r="I39" s="111"/>
      <c r="J39" s="111"/>
      <c r="K39" s="111"/>
      <c r="L39" s="111"/>
      <c r="M39" s="111"/>
    </row>
    <row r="40" spans="1:15" ht="18.95" customHeight="1">
      <c r="A40" s="94" t="s">
        <v>741</v>
      </c>
      <c r="B40" s="94" t="s">
        <v>838</v>
      </c>
      <c r="C40" s="94" t="s">
        <v>839</v>
      </c>
      <c r="D40" s="115">
        <v>350000</v>
      </c>
      <c r="E40" s="115">
        <v>0</v>
      </c>
      <c r="F40" s="84">
        <f>D41-E41</f>
        <v>350000</v>
      </c>
      <c r="G40" s="116">
        <v>350000</v>
      </c>
      <c r="I40" s="94"/>
      <c r="J40" s="94"/>
      <c r="K40" s="94"/>
      <c r="L40" s="94"/>
      <c r="M40" s="94"/>
    </row>
    <row r="41" spans="1:15" ht="18.95" customHeight="1">
      <c r="A41" s="111" t="s">
        <v>741</v>
      </c>
      <c r="B41" s="111" t="s">
        <v>840</v>
      </c>
      <c r="C41" s="111" t="s">
        <v>841</v>
      </c>
      <c r="D41" s="112">
        <v>350000</v>
      </c>
      <c r="E41" s="112">
        <v>0</v>
      </c>
      <c r="F41" s="86">
        <f>D42-E42</f>
        <v>350000</v>
      </c>
      <c r="G41" s="117">
        <v>350000</v>
      </c>
      <c r="I41" s="111"/>
      <c r="J41" s="111"/>
      <c r="K41" s="111"/>
      <c r="L41" s="111"/>
      <c r="M41" s="111"/>
    </row>
    <row r="42" spans="1:15" ht="18.95" customHeight="1">
      <c r="A42" s="94" t="s">
        <v>741</v>
      </c>
      <c r="B42" s="94" t="s">
        <v>842</v>
      </c>
      <c r="C42" s="94" t="s">
        <v>843</v>
      </c>
      <c r="D42" s="115">
        <v>350000</v>
      </c>
      <c r="E42" s="115">
        <v>0</v>
      </c>
      <c r="F42" s="84">
        <f>D43-E43</f>
        <v>800000</v>
      </c>
      <c r="G42" s="116">
        <v>350000</v>
      </c>
      <c r="I42" s="94"/>
      <c r="J42" s="94"/>
      <c r="K42" s="94"/>
      <c r="L42" s="94"/>
      <c r="M42" s="94"/>
    </row>
    <row r="43" spans="1:15" ht="18.95" customHeight="1">
      <c r="A43" s="111" t="s">
        <v>844</v>
      </c>
      <c r="B43" s="111" t="s">
        <v>845</v>
      </c>
      <c r="C43" s="111" t="s">
        <v>846</v>
      </c>
      <c r="D43" s="112">
        <v>800000</v>
      </c>
      <c r="E43" s="112">
        <v>0</v>
      </c>
      <c r="F43" s="86">
        <f>D44-E44</f>
        <v>0</v>
      </c>
      <c r="G43" s="117">
        <v>800000</v>
      </c>
      <c r="I43" s="111"/>
      <c r="J43" s="111"/>
      <c r="K43" s="111"/>
      <c r="L43" s="111"/>
      <c r="M43" s="111"/>
    </row>
    <row r="44" spans="1:15" ht="18.95" customHeight="1">
      <c r="A44" s="94" t="s">
        <v>847</v>
      </c>
      <c r="B44" s="94"/>
      <c r="C44" s="116">
        <v>35000</v>
      </c>
      <c r="D44" s="115">
        <v>0</v>
      </c>
      <c r="E44" s="84">
        <f>D45-E45</f>
        <v>0</v>
      </c>
      <c r="F44" s="115">
        <v>35000</v>
      </c>
      <c r="G44" s="94"/>
      <c r="I44" s="94"/>
      <c r="J44" s="94"/>
      <c r="K44" s="94"/>
      <c r="L44" s="94"/>
      <c r="M44" s="94"/>
    </row>
    <row r="45" spans="1:15" ht="21.95" customHeight="1">
      <c r="A45" s="214" t="s">
        <v>848</v>
      </c>
      <c r="B45" s="206"/>
      <c r="C45" s="206"/>
      <c r="D45" s="118">
        <f>IFERROR(INDEX('[2]🏘️ Flat Register'!H:H,MATCH($B$4,'[2]🏘️ Flat Register'!A:A,0)),0)</f>
        <v>0</v>
      </c>
      <c r="E45" s="118">
        <f>IFERROR(SUMIF('[2]💳 Payment Entry'!D:D,$B$4,'[2]💳 Payment Entry'!H:H),0)</f>
        <v>0</v>
      </c>
      <c r="F45" s="118">
        <f>IFERROR(INDEX('[2]🏘️ Flat Register'!K:K,MATCH($B$4,'[2]🏘️ Flat Register'!A:A,0)),0)-IFERROR(SUMIF('[2]💳 Payment Entry'!D:D,$B$4,'[2]💳 Payment Entry'!H:H),0)</f>
        <v>0</v>
      </c>
      <c r="G45" s="119"/>
      <c r="I45" s="119"/>
      <c r="J45" s="119"/>
      <c r="K45" s="119"/>
      <c r="L45" s="119"/>
      <c r="M45" s="118" t="s">
        <v>849</v>
      </c>
    </row>
    <row r="47" spans="1:15" ht="15.95" customHeight="1">
      <c r="K47" s="209" t="s">
        <v>850</v>
      </c>
      <c r="L47" s="206"/>
      <c r="M47" s="210">
        <f ca="1">NOW()</f>
        <v>46227.925951273151</v>
      </c>
      <c r="N47" s="206"/>
      <c r="O47" s="206"/>
    </row>
  </sheetData>
  <mergeCells count="49">
    <mergeCell ref="A9:O9"/>
    <mergeCell ref="A1:S1"/>
    <mergeCell ref="A2:S2"/>
    <mergeCell ref="A3:B3"/>
    <mergeCell ref="A6:O6"/>
    <mergeCell ref="A7:O7"/>
    <mergeCell ref="A10:B10"/>
    <mergeCell ref="C10:G10"/>
    <mergeCell ref="I10:J10"/>
    <mergeCell ref="K10:O10"/>
    <mergeCell ref="A11:B11"/>
    <mergeCell ref="C11:G11"/>
    <mergeCell ref="I11:J11"/>
    <mergeCell ref="K11:O11"/>
    <mergeCell ref="A12:B12"/>
    <mergeCell ref="C12:G12"/>
    <mergeCell ref="I12:J12"/>
    <mergeCell ref="K12:O12"/>
    <mergeCell ref="A13:B13"/>
    <mergeCell ref="C13:G13"/>
    <mergeCell ref="A14:B14"/>
    <mergeCell ref="C14:G14"/>
    <mergeCell ref="A15:O15"/>
    <mergeCell ref="A16:B16"/>
    <mergeCell ref="C16:G16"/>
    <mergeCell ref="I16:K16"/>
    <mergeCell ref="L16:O16"/>
    <mergeCell ref="A17:B17"/>
    <mergeCell ref="C17:G17"/>
    <mergeCell ref="I17:K17"/>
    <mergeCell ref="L17:O17"/>
    <mergeCell ref="A18:B18"/>
    <mergeCell ref="C18:G18"/>
    <mergeCell ref="I18:K18"/>
    <mergeCell ref="L18:O18"/>
    <mergeCell ref="A19:B19"/>
    <mergeCell ref="C19:G19"/>
    <mergeCell ref="I19:K19"/>
    <mergeCell ref="L19:O19"/>
    <mergeCell ref="A20:B20"/>
    <mergeCell ref="C20:G20"/>
    <mergeCell ref="K47:L47"/>
    <mergeCell ref="M47:O47"/>
    <mergeCell ref="A21:B21"/>
    <mergeCell ref="C21:G21"/>
    <mergeCell ref="A22:B22"/>
    <mergeCell ref="C22:G22"/>
    <mergeCell ref="A23:O23"/>
    <mergeCell ref="A45:C45"/>
  </mergeCells>
  <pageMargins left="0.5" right="0.5" top="0.75" bottom="0.75" header="0.5" footer="0.5"/>
  <pageSetup paperSize="9"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5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5"/>
  <cols>
    <col min="1" max="1" width="14" style="81" customWidth="1"/>
    <col min="2" max="2" width="12" style="81" customWidth="1"/>
    <col min="3" max="3" width="10" style="81" customWidth="1"/>
    <col min="4" max="4" width="12" style="81" customWidth="1"/>
    <col min="5" max="5" width="24" style="81" customWidth="1"/>
    <col min="6" max="6" width="18" style="81" customWidth="1"/>
    <col min="7" max="7" width="16" style="81" customWidth="1"/>
    <col min="8" max="10" width="14" style="81" customWidth="1"/>
    <col min="11" max="11" width="28" style="81" customWidth="1"/>
    <col min="12" max="16384" width="9.140625" style="81"/>
  </cols>
  <sheetData>
    <row r="1" spans="1:20" ht="36" customHeight="1">
      <c r="A1" s="205" t="s">
        <v>747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</row>
    <row r="2" spans="1:20" ht="18" customHeight="1">
      <c r="A2" s="207" t="s">
        <v>748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</row>
    <row r="3" spans="1:20" ht="21.95" customHeight="1">
      <c r="A3" s="232" t="s">
        <v>749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</row>
    <row r="4" spans="1:20" ht="18" customHeight="1">
      <c r="A4" s="233" t="s">
        <v>750</v>
      </c>
      <c r="B4" s="206"/>
      <c r="C4" s="206"/>
      <c r="D4" s="206"/>
      <c r="E4" s="206"/>
      <c r="F4" s="234" t="s">
        <v>751</v>
      </c>
      <c r="G4" s="206"/>
      <c r="H4" s="206"/>
      <c r="I4" s="206"/>
      <c r="J4" s="206"/>
      <c r="K4" s="235" t="s">
        <v>752</v>
      </c>
      <c r="L4" s="206"/>
      <c r="M4" s="206"/>
      <c r="N4" s="206"/>
      <c r="O4" s="206"/>
      <c r="P4" s="236" t="s">
        <v>205</v>
      </c>
      <c r="Q4" s="206"/>
      <c r="R4" s="206"/>
    </row>
    <row r="5" spans="1:20" ht="33.950000000000003" customHeight="1">
      <c r="A5" s="228">
        <f>SUM('💳 PAYMENTS Entery'!H11:H30)</f>
        <v>2580000</v>
      </c>
      <c r="B5" s="206"/>
      <c r="C5" s="206"/>
      <c r="D5" s="206"/>
      <c r="E5" s="206"/>
      <c r="F5" s="229" t="e">
        <f>SUMPRODUCT(1/COUNTIF('💳 PAYMENTS Entery'!D11:D45,'💳 PAYMENTS Entery'!D11:D41))</f>
        <v>#DIV/0!</v>
      </c>
      <c r="G5" s="206"/>
      <c r="H5" s="206"/>
      <c r="I5" s="206"/>
      <c r="J5" s="206"/>
      <c r="K5" s="230">
        <f>IFERROR(SUMIF(H9:H49967,"Bank Transfer",G9:G49967)+SUMIF(H9:H49967,"Cheque",G9:G49967)+SUMIF(H9:H49967,"Online Transfer",G9:G49967)+SUMIF(H9:H49967,"Pay Order",G9:G49967),0)</f>
        <v>685000</v>
      </c>
      <c r="L5" s="206"/>
      <c r="M5" s="206"/>
      <c r="N5" s="206"/>
      <c r="O5" s="206"/>
      <c r="P5" s="231">
        <f>IFERROR(SUMIF(H9:H49967,"Cash",G9:G49967),0)</f>
        <v>1895000</v>
      </c>
      <c r="Q5" s="206"/>
      <c r="R5" s="206"/>
    </row>
    <row r="7" spans="1:20" ht="20.100000000000001" customHeight="1">
      <c r="A7" s="208" t="s">
        <v>753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</row>
    <row r="8" spans="1:20" ht="26.1" customHeight="1">
      <c r="A8" s="82" t="s">
        <v>754</v>
      </c>
      <c r="B8" s="82" t="s">
        <v>416</v>
      </c>
      <c r="C8" s="82" t="s">
        <v>728</v>
      </c>
      <c r="D8" s="82" t="s">
        <v>372</v>
      </c>
      <c r="E8" s="82" t="s">
        <v>373</v>
      </c>
      <c r="F8" s="82" t="s">
        <v>755</v>
      </c>
      <c r="G8" s="82" t="s">
        <v>44</v>
      </c>
      <c r="H8" s="82" t="s">
        <v>756</v>
      </c>
      <c r="I8" s="82" t="s">
        <v>757</v>
      </c>
      <c r="J8" s="82" t="s">
        <v>744</v>
      </c>
      <c r="K8" s="82" t="s">
        <v>156</v>
      </c>
    </row>
    <row r="9" spans="1:20" ht="18.95" customHeight="1">
      <c r="A9" s="83" t="str">
        <f>'💳 PAYMENTS Entery'!A11</f>
        <v>RCP-001</v>
      </c>
      <c r="B9" s="87">
        <f>'💳 PAYMENTS Entery'!C11</f>
        <v>46157</v>
      </c>
      <c r="C9" s="83">
        <f>'💳 PAYMENTS Entery'!G11</f>
        <v>202</v>
      </c>
      <c r="D9" s="83" t="str">
        <f>'💳 PAYMENTS Entery'!D11</f>
        <v>C-001</v>
      </c>
      <c r="E9" s="83" t="str">
        <f>'💳 PAYMENTS Entery'!E11</f>
        <v>Zulfiqar Ali Sapro</v>
      </c>
      <c r="F9" s="83" t="str">
        <f>'💳 PAYMENTS Entery'!F11</f>
        <v>Confirmation</v>
      </c>
      <c r="G9" s="84">
        <f>'💳 PAYMENTS Entery'!H11</f>
        <v>385000</v>
      </c>
      <c r="H9" s="83" t="str">
        <f>'💳 PAYMENTS Entery'!I11</f>
        <v>Bank Transfer</v>
      </c>
      <c r="I9" s="83" t="str">
        <f>'💳 PAYMENTS Entery'!K11</f>
        <v>TT-2001</v>
      </c>
      <c r="J9" s="83" t="str">
        <f>'💳 PAYMENTS Entery'!M11</f>
        <v>Sharjeel</v>
      </c>
      <c r="K9" s="83" t="str">
        <f>'💳 PAYMENTS Entery'!N11</f>
        <v>Installment 1 payment</v>
      </c>
    </row>
    <row r="10" spans="1:20" ht="18.95" customHeight="1">
      <c r="A10" s="83" t="str">
        <f>'💳 PAYMENTS Entery'!A12</f>
        <v>R-002</v>
      </c>
      <c r="B10" s="87">
        <f>'💳 PAYMENTS Entery'!C12</f>
        <v>46188</v>
      </c>
      <c r="C10" s="83">
        <f>'💳 PAYMENTS Entery'!G12</f>
        <v>202</v>
      </c>
      <c r="D10" s="83" t="str">
        <f>'💳 PAYMENTS Entery'!D12</f>
        <v>C-001</v>
      </c>
      <c r="E10" s="83" t="str">
        <f>'💳 PAYMENTS Entery'!E12</f>
        <v>Zulfiqar Ali Sapro</v>
      </c>
      <c r="F10" s="83" t="str">
        <f>'💳 PAYMENTS Entery'!F12</f>
        <v>Allocation</v>
      </c>
      <c r="G10" s="84">
        <f>'💳 PAYMENTS Entery'!H12</f>
        <v>1190000</v>
      </c>
      <c r="H10" s="83" t="str">
        <f>'💳 PAYMENTS Entery'!I12</f>
        <v>Cash</v>
      </c>
      <c r="I10" s="83">
        <f>'💳 PAYMENTS Entery'!K12</f>
        <v>0</v>
      </c>
      <c r="J10" s="83" t="str">
        <f>'💳 PAYMENTS Entery'!M12</f>
        <v>Sharjeel</v>
      </c>
      <c r="K10" s="83" t="str">
        <f>'💳 PAYMENTS Entery'!N12</f>
        <v>Installment 1 payment</v>
      </c>
    </row>
    <row r="11" spans="1:20" ht="18.95" customHeight="1">
      <c r="A11" s="83" t="str">
        <f>'💳 PAYMENTS Entery'!A13</f>
        <v>R-003</v>
      </c>
      <c r="B11" s="87">
        <f>'💳 PAYMENTS Entery'!C13</f>
        <v>46218</v>
      </c>
      <c r="C11" s="83">
        <f>'💳 PAYMENTS Entery'!G13</f>
        <v>202</v>
      </c>
      <c r="D11" s="83" t="str">
        <f>'💳 PAYMENTS Entery'!D13</f>
        <v>C-001</v>
      </c>
      <c r="E11" s="83" t="str">
        <f>'💳 PAYMENTS Entery'!E13</f>
        <v>Zulfiqar Ali Sapro</v>
      </c>
      <c r="F11" s="83" t="str">
        <f>'💳 PAYMENTS Entery'!F13</f>
        <v>Installment</v>
      </c>
      <c r="G11" s="84">
        <f>'💳 PAYMENTS Entery'!H13</f>
        <v>150000</v>
      </c>
      <c r="H11" s="83" t="str">
        <f>'💳 PAYMENTS Entery'!I13</f>
        <v>Cash</v>
      </c>
      <c r="I11" s="83">
        <f>'💳 PAYMENTS Entery'!K13</f>
        <v>0</v>
      </c>
      <c r="J11" s="83" t="str">
        <f>'💳 PAYMENTS Entery'!M13</f>
        <v>Sharjeel</v>
      </c>
      <c r="K11" s="83" t="str">
        <f>'💳 PAYMENTS Entery'!N13</f>
        <v>Installment 1 payment</v>
      </c>
    </row>
    <row r="12" spans="1:20" ht="18.95" customHeight="1">
      <c r="A12" s="83" t="str">
        <f>'💳 PAYMENTS Entery'!A14</f>
        <v>R-004</v>
      </c>
      <c r="B12" s="87">
        <f>'💳 PAYMENTS Entery'!C14</f>
        <v>46249</v>
      </c>
      <c r="C12" s="83">
        <f>'💳 PAYMENTS Entery'!G14</f>
        <v>202</v>
      </c>
      <c r="D12" s="83" t="str">
        <f>'💳 PAYMENTS Entery'!D14</f>
        <v>C-001</v>
      </c>
      <c r="E12" s="83" t="str">
        <f>'💳 PAYMENTS Entery'!E14</f>
        <v>Zulfiqar Ali Sapro</v>
      </c>
      <c r="F12" s="83" t="str">
        <f>'💳 PAYMENTS Entery'!F14</f>
        <v>Installment</v>
      </c>
      <c r="G12" s="84">
        <f>'💳 PAYMENTS Entery'!H14</f>
        <v>275000</v>
      </c>
      <c r="H12" s="83" t="str">
        <f>'💳 PAYMENTS Entery'!I14</f>
        <v>Cash</v>
      </c>
      <c r="I12" s="83">
        <f>'💳 PAYMENTS Entery'!K14</f>
        <v>0</v>
      </c>
      <c r="J12" s="83" t="str">
        <f>'💳 PAYMENTS Entery'!M14</f>
        <v>Sharjeel</v>
      </c>
      <c r="K12" s="83" t="str">
        <f>'💳 PAYMENTS Entery'!N14</f>
        <v>Installment 1 payment</v>
      </c>
    </row>
    <row r="13" spans="1:20" ht="18.95" customHeight="1">
      <c r="A13" s="83" t="str">
        <f>'💳 PAYMENTS Entery'!A15</f>
        <v>R-005</v>
      </c>
      <c r="B13" s="87">
        <f>'💳 PAYMENTS Entery'!C15</f>
        <v>46280</v>
      </c>
      <c r="C13" s="83">
        <f>'💳 PAYMENTS Entery'!G15</f>
        <v>202</v>
      </c>
      <c r="D13" s="83" t="str">
        <f>'💳 PAYMENTS Entery'!D15</f>
        <v>C-001</v>
      </c>
      <c r="E13" s="83" t="str">
        <f>'💳 PAYMENTS Entery'!E15</f>
        <v>Zulfiqar Ali Sapro</v>
      </c>
      <c r="F13" s="83" t="str">
        <f>'💳 PAYMENTS Entery'!F15</f>
        <v>Installment</v>
      </c>
      <c r="G13" s="84">
        <f>'💳 PAYMENTS Entery'!H15</f>
        <v>280000</v>
      </c>
      <c r="H13" s="83" t="str">
        <f>'💳 PAYMENTS Entery'!I15</f>
        <v>Cash</v>
      </c>
      <c r="I13" s="83">
        <f>'💳 PAYMENTS Entery'!K15</f>
        <v>0</v>
      </c>
      <c r="J13" s="83" t="str">
        <f>'💳 PAYMENTS Entery'!M15</f>
        <v>Sharjeel</v>
      </c>
      <c r="K13" s="83" t="str">
        <f>'💳 PAYMENTS Entery'!N15</f>
        <v xml:space="preserve">Installment 1 payment, same recp </v>
      </c>
    </row>
    <row r="14" spans="1:20" ht="18.95" customHeight="1">
      <c r="A14" s="83" t="str">
        <f>'💳 PAYMENTS Entery'!A16</f>
        <v>R-006</v>
      </c>
      <c r="B14" s="87">
        <f>'💳 PAYMENTS Entery'!C16</f>
        <v>0</v>
      </c>
      <c r="C14" s="83">
        <f>'💳 PAYMENTS Entery'!G16</f>
        <v>202</v>
      </c>
      <c r="D14" s="83" t="str">
        <f>'💳 PAYMENTS Entery'!D16</f>
        <v>C-001</v>
      </c>
      <c r="E14" s="83" t="str">
        <f>'💳 PAYMENTS Entery'!E16</f>
        <v>Zulfiqar Ali Sapro</v>
      </c>
      <c r="F14" s="83" t="str">
        <f>'💳 PAYMENTS Entery'!F16</f>
        <v>Installment</v>
      </c>
      <c r="G14" s="84">
        <f>'💳 PAYMENTS Entery'!H16</f>
        <v>150000</v>
      </c>
      <c r="H14" s="83" t="str">
        <f>'💳 PAYMENTS Entery'!I16</f>
        <v>Online Transfer</v>
      </c>
      <c r="I14" s="83">
        <f>'💳 PAYMENTS Entery'!K16</f>
        <v>4525</v>
      </c>
      <c r="J14" s="83">
        <f>'💳 PAYMENTS Entery'!M16</f>
        <v>0</v>
      </c>
      <c r="K14" s="83">
        <f>'💳 PAYMENTS Entery'!N16</f>
        <v>0</v>
      </c>
    </row>
    <row r="15" spans="1:20" ht="18.95" customHeight="1">
      <c r="A15" s="83" t="str">
        <f>'💳 PAYMENTS Entery'!A17</f>
        <v/>
      </c>
      <c r="B15" s="87">
        <f>'💳 PAYMENTS Entery'!C17</f>
        <v>0</v>
      </c>
      <c r="C15" s="83" t="str">
        <f>'💳 PAYMENTS Entery'!G17</f>
        <v/>
      </c>
      <c r="D15" s="83">
        <f>'💳 PAYMENTS Entery'!D17</f>
        <v>0</v>
      </c>
      <c r="E15" s="83" t="str">
        <f>'💳 PAYMENTS Entery'!E17</f>
        <v/>
      </c>
      <c r="F15" s="83" t="str">
        <f>'💳 PAYMENTS Entery'!F17</f>
        <v>Membership Fee</v>
      </c>
      <c r="G15" s="84">
        <f>'💳 PAYMENTS Entery'!H17</f>
        <v>150000</v>
      </c>
      <c r="H15" s="83" t="str">
        <f>'💳 PAYMENTS Entery'!I17</f>
        <v>Online Transfer</v>
      </c>
      <c r="I15" s="83">
        <f>'💳 PAYMENTS Entery'!K17</f>
        <v>0</v>
      </c>
      <c r="J15" s="83">
        <f>'💳 PAYMENTS Entery'!M17</f>
        <v>0</v>
      </c>
      <c r="K15" s="83">
        <f>'💳 PAYMENTS Entery'!N17</f>
        <v>0</v>
      </c>
    </row>
  </sheetData>
  <autoFilter ref="A8:K8"/>
  <mergeCells count="12">
    <mergeCell ref="A1:T1"/>
    <mergeCell ref="A2:T2"/>
    <mergeCell ref="A3:P3"/>
    <mergeCell ref="A4:E4"/>
    <mergeCell ref="F4:J4"/>
    <mergeCell ref="K4:O4"/>
    <mergeCell ref="P4:R4"/>
    <mergeCell ref="A5:E5"/>
    <mergeCell ref="F5:J5"/>
    <mergeCell ref="K5:O5"/>
    <mergeCell ref="P5:R5"/>
    <mergeCell ref="A7:R7"/>
  </mergeCells>
  <pageMargins left="0.5" right="0.5" top="0.75" bottom="0.75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1000"/>
  <sheetViews>
    <sheetView showGridLines="0" workbookViewId="0">
      <pane ySplit="8" topLeftCell="A9" activePane="bottomLeft" state="frozen"/>
      <selection pane="bottomLeft" activeCell="A11" sqref="A11"/>
    </sheetView>
  </sheetViews>
  <sheetFormatPr defaultColWidth="14.42578125" defaultRowHeight="15" customHeight="1"/>
  <cols>
    <col min="1" max="1" width="10" customWidth="1"/>
    <col min="2" max="2" width="12" customWidth="1"/>
    <col min="3" max="3" width="24" customWidth="1"/>
    <col min="4" max="6" width="16" customWidth="1"/>
    <col min="7" max="10" width="14" customWidth="1"/>
    <col min="11" max="11" width="10" customWidth="1"/>
    <col min="12" max="13" width="14" customWidth="1"/>
    <col min="14" max="14" width="10" customWidth="1"/>
    <col min="15" max="15" width="18" customWidth="1"/>
    <col min="16" max="26" width="8.7109375" customWidth="1"/>
  </cols>
  <sheetData>
    <row r="1" spans="1:20" ht="37.5" customHeight="1">
      <c r="A1" s="132" t="s">
        <v>366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</row>
    <row r="2" spans="1:20" ht="18" customHeight="1">
      <c r="A2" s="133" t="s">
        <v>367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5"/>
    </row>
    <row r="3" spans="1:20" ht="21.75" customHeight="1">
      <c r="A3" s="219" t="s">
        <v>368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/>
    </row>
    <row r="4" spans="1:20" ht="19.5" customHeight="1">
      <c r="A4" s="139" t="s">
        <v>145</v>
      </c>
      <c r="B4" s="124"/>
      <c r="C4" s="124"/>
      <c r="D4" s="125"/>
      <c r="E4" s="138" t="s">
        <v>36</v>
      </c>
      <c r="F4" s="124"/>
      <c r="G4" s="124"/>
      <c r="H4" s="125"/>
      <c r="I4" s="238" t="s">
        <v>37</v>
      </c>
      <c r="J4" s="124"/>
      <c r="K4" s="124"/>
      <c r="L4" s="125"/>
      <c r="M4" s="139" t="s">
        <v>38</v>
      </c>
      <c r="N4" s="124"/>
      <c r="O4" s="124"/>
      <c r="P4" s="125"/>
      <c r="Q4" s="144" t="s">
        <v>369</v>
      </c>
      <c r="R4" s="124"/>
      <c r="S4" s="124"/>
      <c r="T4" s="125"/>
    </row>
    <row r="5" spans="1:20" ht="36" customHeight="1">
      <c r="A5" s="181">
        <f>SUM(F8:F5000)</f>
        <v>7155000</v>
      </c>
      <c r="B5" s="124"/>
      <c r="C5" s="124"/>
      <c r="D5" s="125"/>
      <c r="E5" s="239">
        <f>SUM(G8:G5000)</f>
        <v>0</v>
      </c>
      <c r="F5" s="124"/>
      <c r="G5" s="124"/>
      <c r="H5" s="125"/>
      <c r="I5" s="180">
        <f>SUM(H8:H5000)</f>
        <v>0</v>
      </c>
      <c r="J5" s="124"/>
      <c r="K5" s="124"/>
      <c r="L5" s="125"/>
      <c r="M5" s="181">
        <f>SUM(I8:I5000)+SUM(J8:J5000)</f>
        <v>0</v>
      </c>
      <c r="N5" s="124"/>
      <c r="O5" s="124"/>
      <c r="P5" s="125"/>
      <c r="Q5" s="237">
        <f>IFERROR(SUM('💳 PAYMENTS Entery'!H:H)/SUMIF('🏘️ Flat Register'!L:L,"Sold",'🏘️ Flat Register'!H:H),0)</f>
        <v>0.455026455026455</v>
      </c>
      <c r="R5" s="124"/>
      <c r="S5" s="124"/>
      <c r="T5" s="125"/>
    </row>
    <row r="7" spans="1:20" ht="21.75" customHeight="1">
      <c r="A7" s="136" t="s">
        <v>370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5"/>
    </row>
    <row r="8" spans="1:20" ht="25.5" customHeight="1">
      <c r="A8" s="1" t="s">
        <v>371</v>
      </c>
      <c r="B8" s="1" t="s">
        <v>372</v>
      </c>
      <c r="C8" s="1" t="s">
        <v>373</v>
      </c>
      <c r="D8" s="1" t="s">
        <v>33</v>
      </c>
      <c r="E8" s="1" t="s">
        <v>374</v>
      </c>
      <c r="F8" s="1" t="s">
        <v>35</v>
      </c>
      <c r="G8" s="1" t="s">
        <v>375</v>
      </c>
      <c r="H8" s="1" t="s">
        <v>376</v>
      </c>
      <c r="I8" s="1" t="s">
        <v>377</v>
      </c>
      <c r="J8" s="1" t="s">
        <v>378</v>
      </c>
      <c r="K8" s="1" t="s">
        <v>39</v>
      </c>
      <c r="L8" s="1" t="s">
        <v>379</v>
      </c>
      <c r="M8" s="1" t="s">
        <v>380</v>
      </c>
      <c r="N8" s="1" t="s">
        <v>40</v>
      </c>
      <c r="O8" s="1" t="s">
        <v>156</v>
      </c>
    </row>
    <row r="9" spans="1:20" ht="19.5" customHeight="1">
      <c r="A9" s="17">
        <v>101</v>
      </c>
      <c r="B9" s="17" t="s">
        <v>158</v>
      </c>
      <c r="C9" s="2" t="str">
        <f>IFERROR(VLOOKUP(B9,'👤 Customers'!A:C,3,0),"")</f>
        <v>Zulfiqar Ali Sapro</v>
      </c>
      <c r="D9" s="3">
        <f>IFERROR(VLOOKUP(A9,'🏘️ Flat Register'!A:H,8,0),0)</f>
        <v>3915000</v>
      </c>
      <c r="E9" s="3">
        <f>IFERROR(SUMIF('💳 PAYMENTS Entery'!G:G,A9,'💳 PAYMENTS Entery'!H:H),0)</f>
        <v>0</v>
      </c>
      <c r="F9" s="3">
        <f t="shared" ref="F9:F10" si="0">D9-E9</f>
        <v>3915000</v>
      </c>
      <c r="G9" s="3">
        <f>IFERROR(SUMIFS('📅 Installments AUTO'!K:K,'📅 Installments AUTO'!C:C,A9,'📅 Installments AUTO'!M:M,"&gt;0",'📅 Installments AUTO'!M:M,"&lt;=30"),0)</f>
        <v>0</v>
      </c>
      <c r="H9" s="3">
        <f>IFERROR(SUMIFS('📅 Installments AUTO'!K:K,'📅 Installments AUTO'!C:C,A9,'📅 Installments AUTO'!M:M,"&gt;30",'📅 Installments AUTO'!M:M,"&lt;=60"),0)</f>
        <v>0</v>
      </c>
      <c r="I9" s="3">
        <f>IFERROR(SUMIFS('📅 Installments AUTO'!K:K,'📅 Installments AUTO'!C:C,A9,'📅 Installments AUTO'!M:M,"&gt;60",'📅 Installments AUTO'!M:M,"&lt;=90"),0)</f>
        <v>0</v>
      </c>
      <c r="J9" s="3">
        <f>IFERROR(SUMIFS('📅 Installments AUTO'!K:K,'📅 Installments AUTO'!C:C,A9,'📅 Installments AUTO'!M:M,"&gt;90"),0)</f>
        <v>0</v>
      </c>
      <c r="K9" s="4">
        <f t="shared" ref="K9:K10" si="1">IFERROR(E9/D9,0)</f>
        <v>0</v>
      </c>
      <c r="L9" s="25" t="str">
        <f ca="1">IFERROR(MINIFS('📅 Installments AUTO'!H:H,'📅 Installments AUTO'!C:C,A9,'📅 Installments AUTO'!N:N,"Pending"),"")</f>
        <v/>
      </c>
      <c r="M9" s="3">
        <f ca="1">IFERROR(MINIFS('📅 Installments AUTO'!I:I,'📅 Installments AUTO'!C:C,A9,'📅 Installments AUTO'!N:N,"Pending"),0)</f>
        <v>0</v>
      </c>
      <c r="N9" s="2" t="str">
        <f t="shared" ref="N9:N10" si="2">IF(F9&gt;5000000,"HIGH",IF(F9&gt;1000000,"MED","LOW"))</f>
        <v>MED</v>
      </c>
      <c r="O9" s="17"/>
    </row>
    <row r="10" spans="1:20" ht="19.5" customHeight="1">
      <c r="A10" s="22">
        <v>202</v>
      </c>
      <c r="B10" s="22" t="s">
        <v>161</v>
      </c>
      <c r="C10" s="2" t="str">
        <f>IFERROR(VLOOKUP(B10,'👤 Customers'!A:C,3,0),"")</f>
        <v xml:space="preserve">Sharjeel </v>
      </c>
      <c r="D10" s="6">
        <f>IFERROR(VLOOKUP(A10,'🏘️ Flat Register'!A:H,8,0),0)</f>
        <v>5670000</v>
      </c>
      <c r="E10" s="6">
        <f>IFERROR(SUMIF('💳 PAYMENTS Entery'!G:G,A10,'💳 PAYMENTS Entery'!H:H),0)</f>
        <v>2430000</v>
      </c>
      <c r="F10" s="6">
        <f t="shared" si="0"/>
        <v>3240000</v>
      </c>
      <c r="G10" s="6">
        <f>IFERROR(SUMIFS('📅 Installments AUTO'!K:K,'📅 Installments AUTO'!C:C,A10,'📅 Installments AUTO'!M:M,"&gt;0",'📅 Installments AUTO'!M:M,"&lt;=30"),0)</f>
        <v>0</v>
      </c>
      <c r="H10" s="6">
        <f>IFERROR(SUMIFS('📅 Installments AUTO'!K:K,'📅 Installments AUTO'!C:C,A10,'📅 Installments AUTO'!M:M,"&gt;30",'📅 Installments AUTO'!M:M,"&lt;=60"),0)</f>
        <v>0</v>
      </c>
      <c r="I10" s="6">
        <f>IFERROR(SUMIFS('📅 Installments AUTO'!K:K,'📅 Installments AUTO'!C:C,A10,'📅 Installments AUTO'!M:M,"&gt;60",'📅 Installments AUTO'!M:M,"&lt;=90"),0)</f>
        <v>0</v>
      </c>
      <c r="J10" s="6">
        <f>IFERROR(SUMIFS('📅 Installments AUTO'!K:K,'📅 Installments AUTO'!C:C,A10,'📅 Installments AUTO'!M:M,"&gt;90"),0)</f>
        <v>0</v>
      </c>
      <c r="K10" s="7">
        <f t="shared" si="1"/>
        <v>0.42857142857142855</v>
      </c>
      <c r="L10" s="27" t="str">
        <f ca="1">IFERROR(MINIFS('📅 Installments AUTO'!H:H,'📅 Installments AUTO'!C:C,A10,'📅 Installments AUTO'!N:N,"Pending"),"")</f>
        <v/>
      </c>
      <c r="M10" s="6">
        <f ca="1">IFERROR(MINIFS('📅 Installments AUTO'!I:I,'📅 Installments AUTO'!C:C,A10,'📅 Installments AUTO'!N:N,"Pending"),0)</f>
        <v>0</v>
      </c>
      <c r="N10" s="5" t="str">
        <f t="shared" si="2"/>
        <v>MED</v>
      </c>
      <c r="O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8:O8"/>
  <mergeCells count="14">
    <mergeCell ref="Q5:T5"/>
    <mergeCell ref="A7:T7"/>
    <mergeCell ref="A1:T1"/>
    <mergeCell ref="A2:T2"/>
    <mergeCell ref="A3:O3"/>
    <mergeCell ref="E4:H4"/>
    <mergeCell ref="I4:L4"/>
    <mergeCell ref="M4:P4"/>
    <mergeCell ref="Q4:T4"/>
    <mergeCell ref="A4:D4"/>
    <mergeCell ref="A5:D5"/>
    <mergeCell ref="E5:H5"/>
    <mergeCell ref="I5:L5"/>
    <mergeCell ref="M5:P5"/>
  </mergeCells>
  <conditionalFormatting sqref="N9:N1000">
    <cfRule type="cellIs" dxfId="16" priority="1" operator="equal">
      <formula>"HIGH"</formula>
    </cfRule>
  </conditionalFormatting>
  <conditionalFormatting sqref="N9:N1000">
    <cfRule type="cellIs" dxfId="15" priority="2" operator="equal">
      <formula>"MED"</formula>
    </cfRule>
  </conditionalFormatting>
  <conditionalFormatting sqref="N9:N1000">
    <cfRule type="cellIs" dxfId="14" priority="3" operator="equal">
      <formula>"LOW"</formula>
    </cfRule>
  </conditionalFormatting>
  <pageMargins left="0.5" right="0.5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pane ySplit="3" topLeftCell="A4" activePane="bottomLeft" state="frozen"/>
      <selection pane="bottomLeft" activeCell="I4" sqref="I4"/>
    </sheetView>
  </sheetViews>
  <sheetFormatPr defaultColWidth="14.42578125" defaultRowHeight="15" customHeight="1"/>
  <cols>
    <col min="1" max="1" width="12" customWidth="1"/>
    <col min="2" max="2" width="26" customWidth="1"/>
    <col min="3" max="3" width="18" customWidth="1"/>
    <col min="4" max="4" width="20" customWidth="1"/>
    <col min="5" max="5" width="14" customWidth="1"/>
    <col min="6" max="6" width="24" customWidth="1"/>
    <col min="7" max="7" width="14" customWidth="1"/>
    <col min="8" max="8" width="12" customWidth="1"/>
    <col min="9" max="9" width="16" customWidth="1"/>
    <col min="10" max="11" width="14" customWidth="1"/>
    <col min="12" max="12" width="10" customWidth="1"/>
    <col min="13" max="26" width="8.7109375" customWidth="1"/>
  </cols>
  <sheetData>
    <row r="1" spans="1:18" ht="37.5" customHeight="1">
      <c r="A1" s="132" t="s">
        <v>208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124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1" t="s">
        <v>209</v>
      </c>
      <c r="B3" s="1" t="s">
        <v>210</v>
      </c>
      <c r="C3" s="1" t="s">
        <v>43</v>
      </c>
      <c r="D3" s="1" t="s">
        <v>211</v>
      </c>
      <c r="E3" s="1" t="s">
        <v>212</v>
      </c>
      <c r="F3" s="1" t="s">
        <v>213</v>
      </c>
      <c r="G3" s="1" t="s">
        <v>214</v>
      </c>
      <c r="H3" s="1" t="s">
        <v>215</v>
      </c>
      <c r="I3" s="1" t="s">
        <v>216</v>
      </c>
      <c r="J3" s="1" t="s">
        <v>217</v>
      </c>
      <c r="K3" s="1" t="s">
        <v>134</v>
      </c>
      <c r="L3" s="1" t="s">
        <v>41</v>
      </c>
    </row>
    <row r="4" spans="1:18" ht="19.5" customHeight="1">
      <c r="A4" s="17" t="s">
        <v>218</v>
      </c>
      <c r="B4" s="17" t="s">
        <v>673</v>
      </c>
      <c r="C4" s="17" t="s">
        <v>676</v>
      </c>
      <c r="D4" s="17" t="s">
        <v>219</v>
      </c>
      <c r="E4" s="17" t="s">
        <v>220</v>
      </c>
      <c r="F4" s="17" t="s">
        <v>221</v>
      </c>
      <c r="G4" s="17" t="s">
        <v>222</v>
      </c>
      <c r="H4" s="17">
        <v>90</v>
      </c>
      <c r="I4" s="3">
        <f>IFERROR(SUMIF('📦 PURCHASES ← Enter Here'!D:D,A4,'📦 PURCHASES ← Enter Here'!K:K),0)</f>
        <v>0</v>
      </c>
      <c r="J4" s="3">
        <f>IFERROR(SUMIF('🧾 EXPENSES ← Enter Here'!G:G,B4,'🧾 EXPENSES ← Enter Here'!J:J),0)</f>
        <v>0</v>
      </c>
      <c r="K4" s="3">
        <f t="shared" ref="K4:K6" si="0">I4-J4</f>
        <v>0</v>
      </c>
      <c r="L4" s="17" t="s">
        <v>122</v>
      </c>
    </row>
    <row r="5" spans="1:18" ht="19.5" customHeight="1">
      <c r="A5" s="22" t="s">
        <v>223</v>
      </c>
      <c r="B5" s="22" t="s">
        <v>674</v>
      </c>
      <c r="C5" s="22" t="s">
        <v>677</v>
      </c>
      <c r="D5" s="22" t="s">
        <v>224</v>
      </c>
      <c r="E5" s="22" t="s">
        <v>225</v>
      </c>
      <c r="F5" s="22" t="s">
        <v>226</v>
      </c>
      <c r="G5" s="22" t="s">
        <v>227</v>
      </c>
      <c r="H5" s="22">
        <v>60</v>
      </c>
      <c r="I5" s="3">
        <f>IFERROR(SUMIF('📦 PURCHASES ← Enter Here'!D:D,A5,'📦 PURCHASES ← Enter Here'!K:K),0)</f>
        <v>0</v>
      </c>
      <c r="J5" s="6">
        <f>IFERROR(SUMIF('🧾 EXPENSES ← Enter Here'!G:G,B5,'🧾 EXPENSES ← Enter Here'!J:J),0)</f>
        <v>0</v>
      </c>
      <c r="K5" s="6">
        <f t="shared" si="0"/>
        <v>0</v>
      </c>
      <c r="L5" s="22" t="s">
        <v>122</v>
      </c>
    </row>
    <row r="6" spans="1:18" ht="19.5" customHeight="1">
      <c r="A6" s="17" t="s">
        <v>228</v>
      </c>
      <c r="B6" s="17" t="s">
        <v>675</v>
      </c>
      <c r="C6" s="17" t="s">
        <v>678</v>
      </c>
      <c r="D6" s="17" t="s">
        <v>229</v>
      </c>
      <c r="E6" s="17" t="s">
        <v>230</v>
      </c>
      <c r="F6" s="17" t="s">
        <v>231</v>
      </c>
      <c r="G6" s="17" t="s">
        <v>232</v>
      </c>
      <c r="H6" s="17">
        <v>35</v>
      </c>
      <c r="I6" s="3">
        <f>IFERROR(SUMIF('📦 PURCHASES ← Enter Here'!D:D,A6,'📦 PURCHASES ← Enter Here'!K:K),0)</f>
        <v>0</v>
      </c>
      <c r="J6" s="3">
        <f>IFERROR(SUMIF('🧾 EXPENSES ← Enter Here'!G:G,B6,'🧾 EXPENSES ← Enter Here'!J:J),0)</f>
        <v>0</v>
      </c>
      <c r="K6" s="3">
        <f t="shared" si="0"/>
        <v>0</v>
      </c>
      <c r="L6" s="17" t="s">
        <v>122</v>
      </c>
    </row>
    <row r="7" spans="1:18" ht="19.5" customHeight="1">
      <c r="A7" s="17" t="s">
        <v>679</v>
      </c>
      <c r="B7" s="17" t="s">
        <v>680</v>
      </c>
      <c r="C7" s="17" t="s">
        <v>681</v>
      </c>
      <c r="D7" s="17" t="s">
        <v>229</v>
      </c>
      <c r="E7" s="17" t="s">
        <v>230</v>
      </c>
      <c r="F7" s="17" t="s">
        <v>231</v>
      </c>
      <c r="G7" s="17" t="s">
        <v>232</v>
      </c>
      <c r="H7" s="17">
        <v>120</v>
      </c>
      <c r="I7" s="3">
        <f>IFERROR(SUMIF('📦 PURCHASES ← Enter Here'!D:D,A7,'📦 PURCHASES ← Enter Here'!K:K),0)</f>
        <v>0</v>
      </c>
      <c r="J7" s="3">
        <f>IFERROR(SUMIF('🧾 EXPENSES ← Enter Here'!G:G,B7,'🧾 EXPENSES ← Enter Here'!J:J),0)</f>
        <v>0</v>
      </c>
      <c r="K7" s="3">
        <f t="shared" ref="K7" si="1">I7-J7</f>
        <v>0</v>
      </c>
      <c r="L7" s="17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pageMargins left="0.5" right="0.5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pane ySplit="3" topLeftCell="A4" activePane="bottomLeft" state="frozen"/>
      <selection pane="bottomLeft" activeCell="J4" sqref="J4"/>
    </sheetView>
  </sheetViews>
  <sheetFormatPr defaultColWidth="14.42578125" defaultRowHeight="15" customHeight="1"/>
  <cols>
    <col min="1" max="1" width="14" customWidth="1"/>
    <col min="2" max="2" width="26" customWidth="1"/>
    <col min="3" max="3" width="20" customWidth="1"/>
    <col min="4" max="4" width="14" customWidth="1"/>
    <col min="5" max="5" width="18" customWidth="1"/>
    <col min="6" max="6" width="16" customWidth="1"/>
    <col min="7" max="7" width="14" customWidth="1"/>
    <col min="8" max="8" width="18" customWidth="1"/>
    <col min="9" max="10" width="14" customWidth="1"/>
    <col min="11" max="12" width="10" customWidth="1"/>
    <col min="13" max="26" width="8.7109375" customWidth="1"/>
  </cols>
  <sheetData>
    <row r="1" spans="1:18" ht="37.5" customHeight="1">
      <c r="A1" s="132" t="s">
        <v>233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124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1" t="s">
        <v>234</v>
      </c>
      <c r="B3" s="1" t="s">
        <v>104</v>
      </c>
      <c r="C3" s="1" t="s">
        <v>235</v>
      </c>
      <c r="D3" s="1" t="s">
        <v>211</v>
      </c>
      <c r="E3" s="1" t="s">
        <v>236</v>
      </c>
      <c r="F3" s="1" t="s">
        <v>237</v>
      </c>
      <c r="G3" s="1" t="s">
        <v>238</v>
      </c>
      <c r="H3" s="1" t="s">
        <v>239</v>
      </c>
      <c r="I3" s="1" t="s">
        <v>217</v>
      </c>
      <c r="J3" s="1" t="s">
        <v>134</v>
      </c>
      <c r="K3" s="1" t="s">
        <v>240</v>
      </c>
      <c r="L3" s="1" t="s">
        <v>41</v>
      </c>
    </row>
    <row r="4" spans="1:18" ht="19.5" customHeight="1">
      <c r="A4" s="17" t="s">
        <v>241</v>
      </c>
      <c r="B4" s="17" t="s">
        <v>682</v>
      </c>
      <c r="C4" s="17" t="s">
        <v>242</v>
      </c>
      <c r="D4" s="17" t="s">
        <v>243</v>
      </c>
      <c r="E4" s="19">
        <v>0</v>
      </c>
      <c r="F4" s="3">
        <f>IFERROR(SUMIF('🏗️ Site Log'!B:B,A4,'🏗️ Site Log'!H:H),0)</f>
        <v>0</v>
      </c>
      <c r="G4" s="3">
        <f ca="1">G4*L4</f>
        <v>0</v>
      </c>
      <c r="H4" s="3">
        <f ca="1">G4-H4</f>
        <v>0</v>
      </c>
      <c r="I4" s="3">
        <f>IFERROR(SUMIF('🧾 EXPENSES ← Enter Here'!G:G,B4,'🧾 EXPENSES ← Enter Here'!J:J),0)</f>
        <v>0</v>
      </c>
      <c r="J4" s="3">
        <f ca="1">I4-J4</f>
        <v>0</v>
      </c>
      <c r="K4" s="21">
        <v>0.1</v>
      </c>
      <c r="L4" s="17" t="s">
        <v>122</v>
      </c>
    </row>
    <row r="5" spans="1:18" ht="19.5" customHeight="1">
      <c r="A5" s="22" t="s">
        <v>244</v>
      </c>
      <c r="B5" s="22" t="s">
        <v>683</v>
      </c>
      <c r="C5" s="22" t="s">
        <v>245</v>
      </c>
      <c r="D5" s="22" t="s">
        <v>246</v>
      </c>
      <c r="E5" s="23">
        <v>0</v>
      </c>
      <c r="F5" s="6">
        <f>IFERROR(SUMIF('🏗️ Site Log'!B:B,A5,'🏗️ Site Log'!H:H),0)</f>
        <v>0</v>
      </c>
      <c r="G5" s="6">
        <f ca="1">G5*L5</f>
        <v>0</v>
      </c>
      <c r="H5" s="6">
        <f ca="1">G5-H5</f>
        <v>0</v>
      </c>
      <c r="I5" s="6">
        <f>IFERROR(SUMIF('🧾 EXPENSES ← Enter Here'!G:G,B5,'🧾 EXPENSES ← Enter Here'!J:J),0)</f>
        <v>0</v>
      </c>
      <c r="J5" s="6">
        <f ca="1">I5-J5</f>
        <v>0</v>
      </c>
      <c r="K5" s="24">
        <v>0.1</v>
      </c>
      <c r="L5" s="22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pageMargins left="0.5" right="0.5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pane ySplit="3" topLeftCell="A4" activePane="bottomLeft" state="frozen"/>
      <selection pane="bottomLeft" activeCell="F8" sqref="F8"/>
    </sheetView>
  </sheetViews>
  <sheetFormatPr defaultColWidth="14.42578125" defaultRowHeight="15" customHeight="1"/>
  <cols>
    <col min="1" max="1" width="12" customWidth="1"/>
    <col min="2" max="2" width="26" customWidth="1"/>
    <col min="3" max="3" width="18" customWidth="1"/>
    <col min="4" max="4" width="10" customWidth="1"/>
    <col min="5" max="5" width="14" customWidth="1"/>
    <col min="6" max="7" width="12" customWidth="1"/>
    <col min="8" max="8" width="16" customWidth="1"/>
    <col min="9" max="10" width="12" customWidth="1"/>
    <col min="11" max="11" width="14" customWidth="1"/>
    <col min="12" max="12" width="10" customWidth="1"/>
    <col min="13" max="26" width="8.7109375" customWidth="1"/>
  </cols>
  <sheetData>
    <row r="1" spans="1:18" ht="37.5" customHeight="1">
      <c r="A1" s="132" t="s">
        <v>247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124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1" t="s">
        <v>248</v>
      </c>
      <c r="B3" s="1" t="s">
        <v>104</v>
      </c>
      <c r="C3" s="1" t="s">
        <v>43</v>
      </c>
      <c r="D3" s="1" t="s">
        <v>249</v>
      </c>
      <c r="E3" s="1" t="s">
        <v>250</v>
      </c>
      <c r="F3" s="1" t="s">
        <v>251</v>
      </c>
      <c r="G3" s="1" t="s">
        <v>252</v>
      </c>
      <c r="H3" s="1" t="s">
        <v>253</v>
      </c>
      <c r="I3" s="1" t="s">
        <v>254</v>
      </c>
      <c r="J3" s="1" t="s">
        <v>255</v>
      </c>
      <c r="K3" s="1" t="s">
        <v>256</v>
      </c>
      <c r="L3" s="1" t="s">
        <v>209</v>
      </c>
    </row>
    <row r="4" spans="1:18" ht="19.5" customHeight="1">
      <c r="A4" s="17" t="s">
        <v>257</v>
      </c>
      <c r="B4" s="17" t="s">
        <v>258</v>
      </c>
      <c r="C4" s="17" t="s">
        <v>259</v>
      </c>
      <c r="D4" s="17" t="s">
        <v>260</v>
      </c>
      <c r="E4" s="19">
        <v>1000</v>
      </c>
      <c r="F4" s="17">
        <v>0</v>
      </c>
      <c r="G4" s="2">
        <f>IFERROR(SUMIF('📦 PURCHASES ← Enter Here'!E:E,A4,'📦 PURCHASES ← Enter Here'!H:H)-SUMIF('🏗️ Site Log'!E:E,A4,'🏗️ Site Log'!F:F),0)</f>
        <v>0</v>
      </c>
      <c r="H4" s="3">
        <f t="shared" ref="H4:H6" si="0">G4*E4</f>
        <v>0</v>
      </c>
      <c r="I4" s="2">
        <f>IFERROR(SUMIF('📦 PURCHASES ← Enter Here'!E:E,A4,'📦 PURCHASES ← Enter Here'!H:H),0)</f>
        <v>0</v>
      </c>
      <c r="J4" s="2">
        <f>IFERROR(SUMIF('🏗️ Site Log'!E:E,A4,'🏗️ Site Log'!F:F),0)</f>
        <v>0</v>
      </c>
      <c r="K4" s="2" t="str">
        <f t="shared" ref="K4:K6" si="1">IF(G4&lt;=F4,"LOW STOCK","OK")</f>
        <v>LOW STOCK</v>
      </c>
      <c r="L4" s="17" t="s">
        <v>218</v>
      </c>
    </row>
    <row r="5" spans="1:18" ht="19.5" customHeight="1">
      <c r="A5" s="22" t="s">
        <v>261</v>
      </c>
      <c r="B5" s="22" t="s">
        <v>262</v>
      </c>
      <c r="C5" s="22" t="s">
        <v>263</v>
      </c>
      <c r="D5" s="22" t="s">
        <v>264</v>
      </c>
      <c r="E5" s="23">
        <v>180000</v>
      </c>
      <c r="F5" s="22">
        <v>0</v>
      </c>
      <c r="G5" s="5">
        <f>IFERROR(SUMIF('📦 PURCHASES ← Enter Here'!E:E,A5,'📦 PURCHASES ← Enter Here'!H:H)-SUMIF('🏗️ Site Log'!E:E,A5,'🏗️ Site Log'!F:F),0)</f>
        <v>0</v>
      </c>
      <c r="H5" s="6">
        <f t="shared" si="0"/>
        <v>0</v>
      </c>
      <c r="I5" s="5">
        <f>IFERROR(SUMIF('📦 PURCHASES ← Enter Here'!E:E,A5,'📦 PURCHASES ← Enter Here'!H:H),0)</f>
        <v>0</v>
      </c>
      <c r="J5" s="5">
        <f>IFERROR(SUMIF('🏗️ Site Log'!E:E,A5,'🏗️ Site Log'!F:F),0)</f>
        <v>0</v>
      </c>
      <c r="K5" s="5" t="str">
        <f t="shared" si="1"/>
        <v>LOW STOCK</v>
      </c>
      <c r="L5" s="22" t="s">
        <v>223</v>
      </c>
    </row>
    <row r="6" spans="1:18" ht="19.5" customHeight="1">
      <c r="A6" s="17" t="s">
        <v>265</v>
      </c>
      <c r="B6" s="17" t="s">
        <v>266</v>
      </c>
      <c r="C6" s="17" t="s">
        <v>267</v>
      </c>
      <c r="D6" s="17" t="s">
        <v>268</v>
      </c>
      <c r="E6" s="19">
        <v>12000</v>
      </c>
      <c r="F6" s="17">
        <v>0</v>
      </c>
      <c r="G6" s="2">
        <f>IFERROR(SUMIF('📦 PURCHASES ← Enter Here'!E:E,A6,'📦 PURCHASES ← Enter Here'!H:H)-SUMIF('🏗️ Site Log'!E:E,A6,'🏗️ Site Log'!F:F),0)</f>
        <v>0</v>
      </c>
      <c r="H6" s="3">
        <f t="shared" si="0"/>
        <v>0</v>
      </c>
      <c r="I6" s="2">
        <f>IFERROR(SUMIF('📦 PURCHASES ← Enter Here'!E:E,A6,'📦 PURCHASES ← Enter Here'!H:H),0)</f>
        <v>0</v>
      </c>
      <c r="J6" s="2">
        <f>IFERROR(SUMIF('🏗️ Site Log'!E:E,A6,'🏗️ Site Log'!F:F),0)</f>
        <v>0</v>
      </c>
      <c r="K6" s="2" t="str">
        <f t="shared" si="1"/>
        <v>LOW STOCK</v>
      </c>
      <c r="L6" s="17" t="s">
        <v>218</v>
      </c>
    </row>
    <row r="7" spans="1:18" ht="15" customHeight="1">
      <c r="A7" s="17" t="s">
        <v>671</v>
      </c>
      <c r="B7" s="17" t="s">
        <v>672</v>
      </c>
      <c r="C7" s="17" t="s">
        <v>259</v>
      </c>
      <c r="D7" s="17" t="s">
        <v>268</v>
      </c>
      <c r="E7" s="19">
        <v>15000</v>
      </c>
      <c r="F7" s="17">
        <v>0</v>
      </c>
      <c r="G7" s="2">
        <f>IFERROR(SUMIF('📦 PURCHASES ← Enter Here'!E:E,A7,'📦 PURCHASES ← Enter Here'!H:H)-SUMIF('🏗️ Site Log'!E:E,A7,'🏗️ Site Log'!F:F),0)</f>
        <v>0</v>
      </c>
      <c r="H7" s="3">
        <f t="shared" ref="H7" si="2">G7*E7</f>
        <v>0</v>
      </c>
      <c r="I7" s="2">
        <f>IFERROR(SUMIF('📦 PURCHASES ← Enter Here'!E:E,A7,'📦 PURCHASES ← Enter Here'!H:H),0)</f>
        <v>0</v>
      </c>
      <c r="J7" s="2">
        <f>IFERROR(SUMIF('🏗️ Site Log'!E:E,A7,'🏗️ Site Log'!F:F),0)</f>
        <v>0</v>
      </c>
      <c r="K7" s="2" t="str">
        <f t="shared" ref="K7" si="3">IF(G7&lt;=F7,"LOW STOCK","OK")</f>
        <v>LOW STOCK</v>
      </c>
      <c r="L7" s="17" t="s">
        <v>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conditionalFormatting sqref="A4:L1000">
    <cfRule type="expression" dxfId="13" priority="1">
      <formula>$K4="LOW STOCK"</formula>
    </cfRule>
  </conditionalFormatting>
  <conditionalFormatting sqref="K4:K1000">
    <cfRule type="cellIs" dxfId="12" priority="2" operator="equal">
      <formula>"LOW STOCK"</formula>
    </cfRule>
  </conditionalFormatting>
  <conditionalFormatting sqref="K4:K1000">
    <cfRule type="cellIs" dxfId="11" priority="3" operator="equal">
      <formula>"OK"</formula>
    </cfRule>
  </conditionalFormatting>
  <pageMargins left="0.5" right="0.5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selection activeCell="G11" sqref="G11"/>
    </sheetView>
  </sheetViews>
  <sheetFormatPr defaultColWidth="14.42578125" defaultRowHeight="15" customHeight="1"/>
  <cols>
    <col min="1" max="1" width="12" customWidth="1"/>
    <col min="2" max="2" width="26" customWidth="1"/>
    <col min="3" max="3" width="16" customWidth="1"/>
    <col min="4" max="4" width="10" customWidth="1"/>
    <col min="5" max="5" width="12" customWidth="1"/>
    <col min="6" max="6" width="10" customWidth="1"/>
    <col min="7" max="7" width="12" customWidth="1"/>
    <col min="8" max="8" width="16" customWidth="1"/>
    <col min="9" max="10" width="12" customWidth="1"/>
    <col min="11" max="11" width="14" customWidth="1"/>
    <col min="12" max="12" width="12" customWidth="1"/>
    <col min="13" max="26" width="8.7109375" customWidth="1"/>
  </cols>
  <sheetData>
    <row r="1" spans="1:18" ht="37.5" customHeight="1">
      <c r="A1" s="132" t="s">
        <v>393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394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19.5" customHeight="1">
      <c r="A3" s="145" t="s">
        <v>395</v>
      </c>
      <c r="B3" s="124"/>
      <c r="C3" s="124"/>
      <c r="D3" s="125"/>
      <c r="E3" s="139" t="s">
        <v>396</v>
      </c>
      <c r="F3" s="124"/>
      <c r="G3" s="124"/>
      <c r="H3" s="125"/>
      <c r="I3" s="144" t="s">
        <v>397</v>
      </c>
      <c r="J3" s="124"/>
      <c r="K3" s="124"/>
      <c r="L3" s="125"/>
    </row>
    <row r="4" spans="1:18" ht="36" customHeight="1">
      <c r="A4" s="183">
        <f>SUM(H7:H500)</f>
        <v>0</v>
      </c>
      <c r="B4" s="124"/>
      <c r="C4" s="124"/>
      <c r="D4" s="125"/>
      <c r="E4" s="181">
        <f>COUNTIF(K7:K500,"LOW STOCK")</f>
        <v>4</v>
      </c>
      <c r="F4" s="124"/>
      <c r="G4" s="124"/>
      <c r="H4" s="125"/>
      <c r="I4" s="182">
        <f>COUNTIF(K7:K500,"OK")</f>
        <v>0</v>
      </c>
      <c r="J4" s="124"/>
      <c r="K4" s="124"/>
      <c r="L4" s="125"/>
    </row>
    <row r="6" spans="1:18" ht="21.75" customHeight="1">
      <c r="A6" s="136" t="s">
        <v>398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5"/>
    </row>
    <row r="7" spans="1:18" ht="25.5" customHeight="1">
      <c r="A7" s="1" t="s">
        <v>399</v>
      </c>
      <c r="B7" s="1" t="s">
        <v>104</v>
      </c>
      <c r="C7" s="1" t="s">
        <v>43</v>
      </c>
      <c r="D7" s="1" t="s">
        <v>249</v>
      </c>
      <c r="E7" s="1" t="s">
        <v>400</v>
      </c>
      <c r="F7" s="1" t="s">
        <v>401</v>
      </c>
      <c r="G7" s="1" t="s">
        <v>252</v>
      </c>
      <c r="H7" s="1" t="s">
        <v>402</v>
      </c>
      <c r="I7" s="1" t="s">
        <v>403</v>
      </c>
      <c r="J7" s="1" t="s">
        <v>404</v>
      </c>
      <c r="K7" s="1" t="s">
        <v>41</v>
      </c>
      <c r="L7" s="1" t="s">
        <v>405</v>
      </c>
    </row>
    <row r="8" spans="1:18" ht="19.5" customHeight="1">
      <c r="A8" s="17" t="s">
        <v>257</v>
      </c>
      <c r="B8" s="2" t="str">
        <f>IFERROR(VLOOKUP(A8,'📦 Materials'!A:B,2,0),"")</f>
        <v>OPC Cement 50kg</v>
      </c>
      <c r="C8" s="2" t="str">
        <f>IFERROR(VLOOKUP(A8,'📦 Materials'!A:C,3,0),"")</f>
        <v>Cement</v>
      </c>
      <c r="D8" s="2" t="str">
        <f>IFERROR(VLOOKUP(A8,'📦 Materials'!A:D,4,0),"")</f>
        <v>Bag</v>
      </c>
      <c r="E8" s="3">
        <f>IFERROR(VLOOKUP(A8,'📦 Materials'!A:E,5,0),0)</f>
        <v>1000</v>
      </c>
      <c r="F8" s="2">
        <f>IFERROR(VLOOKUP(A8,'📦 Materials'!A:F,6,0),0)</f>
        <v>0</v>
      </c>
      <c r="G8" s="2">
        <f>IFERROR(SUMIF('📦 PURCHASES ← Enter Here'!F:F,A8,'📦 PURCHASES ← Enter Here'!I:I)-SUMIF('🏗️ Site Log'!E:E,A8,'🏗️ Site Log'!F:F),0)</f>
        <v>0</v>
      </c>
      <c r="H8" s="3">
        <f t="shared" ref="H8:H9" si="0">G8*E8</f>
        <v>0</v>
      </c>
      <c r="I8" s="2">
        <f>IFERROR(SUMIF('📦 PURCHASES ← Enter Here'!F:F,A8,'📦 PURCHASES ← Enter Here'!I:I),0)</f>
        <v>0</v>
      </c>
      <c r="J8" s="2">
        <f>IFERROR(SUMIF('🏗️ Site Log'!E:E,A8,'🏗️ Site Log'!F:F),0)</f>
        <v>0</v>
      </c>
      <c r="K8" s="2" t="str">
        <f t="shared" ref="K8:K9" si="1">IF(G8&lt;=F8,"LOW STOCK","OK")</f>
        <v>LOW STOCK</v>
      </c>
      <c r="L8" s="25" t="str">
        <f ca="1">IFERROR(MAXIFS('📦 PURCHASES ← Enter Here'!C:C,'📦 PURCHASES ← Enter Here'!F:F,A8),"")</f>
        <v/>
      </c>
    </row>
    <row r="9" spans="1:18" ht="19.5" customHeight="1">
      <c r="A9" s="22" t="s">
        <v>261</v>
      </c>
      <c r="B9" s="5" t="str">
        <f>IFERROR(VLOOKUP(A9,'📦 Materials'!A:B,2,0),"")</f>
        <v>Steel Rebar 12mm</v>
      </c>
      <c r="C9" s="5" t="str">
        <f>IFERROR(VLOOKUP(A9,'📦 Materials'!A:C,3,0),"")</f>
        <v>Steel</v>
      </c>
      <c r="D9" s="5" t="str">
        <f>IFERROR(VLOOKUP(A9,'📦 Materials'!A:D,4,0),"")</f>
        <v>Tonne</v>
      </c>
      <c r="E9" s="6">
        <f>IFERROR(VLOOKUP(A9,'📦 Materials'!A:E,5,0),0)</f>
        <v>180000</v>
      </c>
      <c r="F9" s="5">
        <f>IFERROR(VLOOKUP(A9,'📦 Materials'!A:F,6,0),0)</f>
        <v>0</v>
      </c>
      <c r="G9" s="5">
        <f>IFERROR(SUMIF('📦 PURCHASES ← Enter Here'!F:F,A9,'📦 PURCHASES ← Enter Here'!I:I)-SUMIF('🏗️ Site Log'!E:E,A9,'🏗️ Site Log'!F:F),0)</f>
        <v>0</v>
      </c>
      <c r="H9" s="6">
        <f t="shared" si="0"/>
        <v>0</v>
      </c>
      <c r="I9" s="5">
        <f>IFERROR(SUMIF('📦 PURCHASES ← Enter Here'!F:F,A9,'📦 PURCHASES ← Enter Here'!I:I),0)</f>
        <v>0</v>
      </c>
      <c r="J9" s="5">
        <f>IFERROR(SUMIF('🏗️ Site Log'!E:E,A9,'🏗️ Site Log'!F:F),0)</f>
        <v>0</v>
      </c>
      <c r="K9" s="5" t="str">
        <f t="shared" si="1"/>
        <v>LOW STOCK</v>
      </c>
      <c r="L9" s="27" t="str">
        <f ca="1">IFERROR(MAXIFS('📦 PURCHASES ← Enter Here'!C:C,'📦 PURCHASES ← Enter Here'!F:F,A9),"")</f>
        <v/>
      </c>
    </row>
    <row r="10" spans="1:18" ht="19.5" customHeight="1">
      <c r="A10" s="22" t="s">
        <v>265</v>
      </c>
      <c r="B10" s="5" t="str">
        <f>IFERROR(VLOOKUP(A10,'📦 Materials'!A:B,2,0),"")</f>
        <v>Bricks Standard</v>
      </c>
      <c r="C10" s="5" t="str">
        <f>IFERROR(VLOOKUP(A10,'📦 Materials'!A:C,3,0),"")</f>
        <v>Masonry</v>
      </c>
      <c r="D10" s="5" t="str">
        <f>IFERROR(VLOOKUP(A10,'📦 Materials'!A:D,4,0),"")</f>
        <v>1000 pcs</v>
      </c>
      <c r="E10" s="6">
        <f>IFERROR(VLOOKUP(A10,'📦 Materials'!A:E,5,0),0)</f>
        <v>12000</v>
      </c>
      <c r="F10" s="5">
        <f>IFERROR(VLOOKUP(A10,'📦 Materials'!A:F,6,0),0)</f>
        <v>0</v>
      </c>
      <c r="G10" s="5">
        <f>IFERROR(SUMIF('📦 PURCHASES ← Enter Here'!F:F,A10,'📦 PURCHASES ← Enter Here'!I:I)-SUMIF('🏗️ Site Log'!E:E,A10,'🏗️ Site Log'!F:F),0)</f>
        <v>0</v>
      </c>
      <c r="H10" s="6">
        <f t="shared" ref="H10" si="2">G10*E10</f>
        <v>0</v>
      </c>
      <c r="I10" s="5">
        <f>IFERROR(SUMIF('📦 PURCHASES ← Enter Here'!F:F,A10,'📦 PURCHASES ← Enter Here'!I:I),0)</f>
        <v>0</v>
      </c>
      <c r="J10" s="5">
        <f>IFERROR(SUMIF('🏗️ Site Log'!E:E,A10,'🏗️ Site Log'!F:F),0)</f>
        <v>0</v>
      </c>
      <c r="K10" s="5" t="str">
        <f t="shared" ref="K10" si="3">IF(G10&lt;=F10,"LOW STOCK","OK")</f>
        <v>LOW STOCK</v>
      </c>
      <c r="L10" s="27" t="str">
        <f ca="1">IFERROR(MAXIFS('📦 PURCHASES ← Enter Here'!C:C,'📦 PURCHASES ← Enter Here'!F:F,A10),"")</f>
        <v/>
      </c>
    </row>
    <row r="11" spans="1:18" ht="19.5" customHeight="1">
      <c r="A11" s="22" t="s">
        <v>671</v>
      </c>
      <c r="B11" s="5" t="str">
        <f>IFERROR(VLOOKUP(A11,'📦 Materials'!A:B,2,0),"")</f>
        <v xml:space="preserve">SRC Cement </v>
      </c>
      <c r="C11" s="5" t="str">
        <f>IFERROR(VLOOKUP(A11,'📦 Materials'!A:C,3,0),"")</f>
        <v>Cement</v>
      </c>
      <c r="D11" s="5" t="str">
        <f>IFERROR(VLOOKUP(A11,'📦 Materials'!A:D,4,0),"")</f>
        <v>1000 pcs</v>
      </c>
      <c r="E11" s="6">
        <f>IFERROR(VLOOKUP(A11,'📦 Materials'!A:E,5,0),0)</f>
        <v>15000</v>
      </c>
      <c r="F11" s="5">
        <f>IFERROR(VLOOKUP(A11,'📦 Materials'!A:F,6,0),0)</f>
        <v>0</v>
      </c>
      <c r="G11" s="5">
        <f>IFERROR(SUMIF('📦 PURCHASES ← Enter Here'!F:F,A11,'📦 PURCHASES ← Enter Here'!I:I)-SUMIF('🏗️ Site Log'!E:E,A11,'🏗️ Site Log'!F:F),0)</f>
        <v>0</v>
      </c>
      <c r="H11" s="6">
        <f t="shared" ref="H11" si="4">G11*E11</f>
        <v>0</v>
      </c>
      <c r="I11" s="5">
        <f>IFERROR(SUMIF('📦 PURCHASES ← Enter Here'!F:F,A11,'📦 PURCHASES ← Enter Here'!I:I),0)</f>
        <v>0</v>
      </c>
      <c r="J11" s="5">
        <f>IFERROR(SUMIF('🏗️ Site Log'!E:E,A11,'🏗️ Site Log'!F:F),0)</f>
        <v>0</v>
      </c>
      <c r="K11" s="5" t="str">
        <f t="shared" ref="K11" si="5">IF(G11&lt;=F11,"LOW STOCK","OK")</f>
        <v>LOW STOCK</v>
      </c>
      <c r="L11" s="27" t="str">
        <f ca="1">IFERROR(MAXIFS('📦 PURCHASES ← Enter Here'!C:C,'📦 PURCHASES ← Enter Here'!F:F,A11),"")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4:L4"/>
    <mergeCell ref="A6:L6"/>
    <mergeCell ref="A1:R1"/>
    <mergeCell ref="A2:R2"/>
    <mergeCell ref="A3:D3"/>
    <mergeCell ref="E3:H3"/>
    <mergeCell ref="I3:L3"/>
    <mergeCell ref="A4:D4"/>
    <mergeCell ref="E4:H4"/>
  </mergeCells>
  <conditionalFormatting sqref="A8:L1000">
    <cfRule type="expression" dxfId="10" priority="1">
      <formula>$K8="LOW STOCK"</formula>
    </cfRule>
  </conditionalFormatting>
  <conditionalFormatting sqref="K8:K1000">
    <cfRule type="cellIs" dxfId="9" priority="2" operator="equal">
      <formula>"LOW STOCK"</formula>
    </cfRule>
  </conditionalFormatting>
  <conditionalFormatting sqref="K8:K1000">
    <cfRule type="cellIs" dxfId="8" priority="3" operator="equal">
      <formula>"OK"</formula>
    </cfRule>
  </conditionalFormatting>
  <pageMargins left="0.5" right="0.5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000"/>
  <sheetViews>
    <sheetView showGridLines="0" workbookViewId="0">
      <pane ySplit="5" topLeftCell="A6" activePane="bottomLeft" state="frozen"/>
      <selection pane="bottomLeft" activeCell="L8" sqref="L8"/>
    </sheetView>
  </sheetViews>
  <sheetFormatPr defaultColWidth="14.42578125" defaultRowHeight="15" customHeight="1"/>
  <cols>
    <col min="1" max="1" width="12" customWidth="1"/>
    <col min="2" max="2" width="10" customWidth="1"/>
    <col min="3" max="4" width="12" customWidth="1"/>
    <col min="5" max="5" width="24" customWidth="1"/>
    <col min="6" max="6" width="16.140625" customWidth="1"/>
    <col min="7" max="7" width="22" customWidth="1"/>
    <col min="8" max="9" width="10" customWidth="1"/>
    <col min="10" max="10" width="14" customWidth="1"/>
    <col min="11" max="11" width="16" customWidth="1"/>
    <col min="12" max="12" width="14" customWidth="1"/>
    <col min="13" max="13" width="12" customWidth="1"/>
    <col min="14" max="14" width="14" customWidth="1"/>
    <col min="15" max="15" width="10" customWidth="1"/>
    <col min="16" max="16" width="12" customWidth="1"/>
    <col min="17" max="26" width="8.7109375" customWidth="1"/>
  </cols>
  <sheetData>
    <row r="1" spans="1:16" ht="37.5" customHeight="1">
      <c r="A1" s="132" t="s">
        <v>310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5"/>
    </row>
    <row r="2" spans="1:16" ht="18" customHeight="1">
      <c r="A2" s="133" t="s">
        <v>311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5"/>
    </row>
    <row r="3" spans="1:16" ht="27.75" customHeight="1">
      <c r="A3" s="240" t="s">
        <v>312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/>
    </row>
    <row r="4" spans="1:16" ht="21.75" customHeight="1">
      <c r="A4" s="241" t="s">
        <v>313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31.5" customHeight="1">
      <c r="A5" s="1" t="s">
        <v>314</v>
      </c>
      <c r="B5" s="1" t="s">
        <v>315</v>
      </c>
      <c r="C5" s="1" t="s">
        <v>277</v>
      </c>
      <c r="D5" s="1" t="s">
        <v>316</v>
      </c>
      <c r="E5" s="1" t="s">
        <v>317</v>
      </c>
      <c r="F5" s="1" t="s">
        <v>318</v>
      </c>
      <c r="G5" s="1" t="s">
        <v>319</v>
      </c>
      <c r="H5" s="1" t="s">
        <v>320</v>
      </c>
      <c r="I5" s="1" t="s">
        <v>321</v>
      </c>
      <c r="J5" s="1" t="s">
        <v>322</v>
      </c>
      <c r="K5" s="1" t="s">
        <v>323</v>
      </c>
      <c r="L5" s="1" t="s">
        <v>324</v>
      </c>
      <c r="M5" s="1" t="s">
        <v>325</v>
      </c>
      <c r="N5" s="1" t="s">
        <v>326</v>
      </c>
      <c r="O5" s="1" t="s">
        <v>147</v>
      </c>
      <c r="P5" s="1" t="s">
        <v>149</v>
      </c>
    </row>
    <row r="6" spans="1:16" ht="19.5" customHeight="1">
      <c r="A6" s="2" t="str">
        <f t="shared" ref="A6:A7" si="0">IF(B6&lt;&gt;"","PO-"&amp;TEXT(B6,"000"),"")</f>
        <v>PO-001</v>
      </c>
      <c r="B6" s="17">
        <v>1</v>
      </c>
      <c r="C6" s="18" t="s">
        <v>282</v>
      </c>
      <c r="D6" s="17" t="s">
        <v>218</v>
      </c>
      <c r="E6" s="2" t="str">
        <f>IFERROR(VLOOKUP(D6,'🏪 Vendors'!A:B,2,0),"")</f>
        <v xml:space="preserve">Mansoor Ali </v>
      </c>
      <c r="F6" s="17" t="s">
        <v>257</v>
      </c>
      <c r="G6" s="2" t="str">
        <f>IFERROR(VLOOKUP(F6,'📦 Materials'!A:B,2,0),"")</f>
        <v>OPC Cement 50kg</v>
      </c>
      <c r="H6" s="2" t="str">
        <f>IFERROR(VLOOKUP(F6,'📦 Materials'!A:D,4,0),"")</f>
        <v>Bag</v>
      </c>
      <c r="I6" s="17">
        <v>0</v>
      </c>
      <c r="J6" s="3">
        <f>IFERROR(VLOOKUP(F6,'📦 Materials'!A:E,5,0),0)</f>
        <v>1000</v>
      </c>
      <c r="K6" s="3">
        <f t="shared" ref="K6:K7" si="1">I6*J6</f>
        <v>0</v>
      </c>
      <c r="L6" s="19">
        <v>0</v>
      </c>
      <c r="M6" s="3">
        <f t="shared" ref="M6:M7" si="2">K6-L6</f>
        <v>0</v>
      </c>
      <c r="N6" s="18" t="s">
        <v>308</v>
      </c>
      <c r="O6" s="17" t="s">
        <v>117</v>
      </c>
      <c r="P6" s="17" t="s">
        <v>327</v>
      </c>
    </row>
    <row r="7" spans="1:16" ht="19.5" customHeight="1">
      <c r="A7" s="5" t="str">
        <f t="shared" si="0"/>
        <v>PO-002</v>
      </c>
      <c r="B7" s="22">
        <v>2</v>
      </c>
      <c r="C7" s="26" t="s">
        <v>307</v>
      </c>
      <c r="D7" s="22" t="s">
        <v>223</v>
      </c>
      <c r="E7" s="5" t="str">
        <f>IFERROR(VLOOKUP(D7,'🏪 Vendors'!A:B,2,0),"")</f>
        <v xml:space="preserve">Saeed khan </v>
      </c>
      <c r="F7" s="22" t="s">
        <v>261</v>
      </c>
      <c r="G7" s="5" t="str">
        <f>IFERROR(VLOOKUP(F7,'📦 Materials'!A:B,2,0),"")</f>
        <v>Steel Rebar 12mm</v>
      </c>
      <c r="H7" s="5" t="str">
        <f>IFERROR(VLOOKUP(F7,'📦 Materials'!A:D,4,0),"")</f>
        <v>Tonne</v>
      </c>
      <c r="I7" s="22">
        <v>0</v>
      </c>
      <c r="J7" s="6">
        <f>IFERROR(VLOOKUP(F7,'📦 Materials'!A:E,5,0),0)</f>
        <v>180000</v>
      </c>
      <c r="K7" s="6">
        <f t="shared" si="1"/>
        <v>0</v>
      </c>
      <c r="L7" s="23">
        <v>0</v>
      </c>
      <c r="M7" s="6">
        <f t="shared" si="2"/>
        <v>0</v>
      </c>
      <c r="N7" s="26" t="s">
        <v>328</v>
      </c>
      <c r="O7" s="22" t="s">
        <v>117</v>
      </c>
      <c r="P7" s="22" t="s">
        <v>329</v>
      </c>
    </row>
    <row r="8" spans="1:16" ht="19.5" customHeight="1">
      <c r="A8" s="5" t="str">
        <f t="shared" ref="A8" si="3">IF(B8&lt;&gt;"","PO-"&amp;TEXT(B8,"000"),"")</f>
        <v>PO-003</v>
      </c>
      <c r="B8" s="22">
        <v>3</v>
      </c>
      <c r="C8" s="26" t="s">
        <v>307</v>
      </c>
      <c r="D8" s="22" t="s">
        <v>218</v>
      </c>
      <c r="E8" s="5" t="str">
        <f>IFERROR(VLOOKUP(D8,'🏪 Vendors'!A:B,2,0),"")</f>
        <v xml:space="preserve">Mansoor Ali </v>
      </c>
      <c r="F8" s="22" t="s">
        <v>671</v>
      </c>
      <c r="G8" s="5" t="str">
        <f>IFERROR(VLOOKUP(F8,'📦 Materials'!A:B,2,0),"")</f>
        <v xml:space="preserve">SRC Cement </v>
      </c>
      <c r="H8" s="5" t="str">
        <f>IFERROR(VLOOKUP(F8,'📦 Materials'!A:D,4,0),"")</f>
        <v>1000 pcs</v>
      </c>
      <c r="I8" s="22">
        <v>0</v>
      </c>
      <c r="J8" s="6">
        <f>IFERROR(VLOOKUP(F8,'📦 Materials'!A:E,5,0),0)</f>
        <v>15000</v>
      </c>
      <c r="K8" s="6">
        <f t="shared" ref="K8" si="4">I8*J8</f>
        <v>0</v>
      </c>
      <c r="L8" s="23">
        <v>0</v>
      </c>
      <c r="M8" s="6">
        <f t="shared" ref="M8" si="5">K8-L8</f>
        <v>0</v>
      </c>
      <c r="N8" s="26" t="s">
        <v>328</v>
      </c>
      <c r="O8" s="22" t="s">
        <v>117</v>
      </c>
      <c r="P8" s="22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P5"/>
  <mergeCells count="4">
    <mergeCell ref="A1:P1"/>
    <mergeCell ref="A2:P2"/>
    <mergeCell ref="A3:P3"/>
    <mergeCell ref="A4:P4"/>
  </mergeCells>
  <pageMargins left="0.5" right="0.5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000"/>
  <sheetViews>
    <sheetView showGridLines="0" workbookViewId="0">
      <pane ySplit="3" topLeftCell="A4" activePane="bottomLeft" state="frozen"/>
      <selection pane="bottomLeft" activeCell="L37" sqref="L37"/>
    </sheetView>
  </sheetViews>
  <sheetFormatPr defaultColWidth="14.42578125" defaultRowHeight="15" customHeight="1"/>
  <cols>
    <col min="1" max="1" width="12" customWidth="1"/>
    <col min="2" max="2" width="14" customWidth="1"/>
    <col min="3" max="3" width="12" customWidth="1"/>
    <col min="4" max="4" width="28" customWidth="1"/>
    <col min="5" max="5" width="22" customWidth="1"/>
    <col min="6" max="6" width="14.42578125" bestFit="1" customWidth="1"/>
    <col min="7" max="7" width="8" customWidth="1"/>
    <col min="8" max="8" width="25" customWidth="1"/>
    <col min="9" max="9" width="12" customWidth="1"/>
    <col min="10" max="10" width="10" customWidth="1"/>
    <col min="11" max="11" width="20" customWidth="1"/>
    <col min="12" max="12" width="16" customWidth="1"/>
    <col min="13" max="26" width="8.7109375" customWidth="1"/>
  </cols>
  <sheetData>
    <row r="1" spans="1:16" ht="37.5" customHeight="1">
      <c r="A1" s="132" t="s">
        <v>330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5"/>
    </row>
    <row r="2" spans="1:16" ht="18" customHeight="1">
      <c r="A2" s="133" t="s">
        <v>331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5"/>
    </row>
    <row r="3" spans="1:16" ht="21.75" customHeight="1">
      <c r="A3" s="1" t="s">
        <v>332</v>
      </c>
      <c r="B3" s="1" t="s">
        <v>333</v>
      </c>
      <c r="C3" s="1" t="s">
        <v>147</v>
      </c>
      <c r="D3" s="1" t="s">
        <v>334</v>
      </c>
      <c r="E3" s="1" t="s">
        <v>335</v>
      </c>
      <c r="F3" s="1" t="s">
        <v>336</v>
      </c>
      <c r="G3" s="1" t="s">
        <v>320</v>
      </c>
      <c r="H3" s="1" t="s">
        <v>337</v>
      </c>
      <c r="I3" s="1" t="s">
        <v>277</v>
      </c>
      <c r="J3" s="1" t="s">
        <v>338</v>
      </c>
      <c r="K3" s="1" t="s">
        <v>339</v>
      </c>
      <c r="L3" s="1" t="s">
        <v>303</v>
      </c>
    </row>
    <row r="4" spans="1:16" ht="19.5" customHeight="1">
      <c r="A4" s="2" t="str">
        <f t="shared" ref="A4" si="0">IF(B4&lt;&gt;"","CL-"&amp;TEXT(B4,"000"),"")</f>
        <v>CL-CON-001</v>
      </c>
      <c r="B4" s="17" t="s">
        <v>241</v>
      </c>
      <c r="C4" s="17" t="s">
        <v>117</v>
      </c>
      <c r="D4" s="17" t="s">
        <v>340</v>
      </c>
      <c r="E4" s="17" t="s">
        <v>257</v>
      </c>
      <c r="F4" s="17">
        <v>0</v>
      </c>
      <c r="G4" s="2" t="str">
        <f>IFERROR(VLOOKUP(E4,'📦 Materials'!A:D,4,0),"")</f>
        <v>Bag</v>
      </c>
      <c r="H4" s="19">
        <v>0</v>
      </c>
      <c r="I4" s="18" t="s">
        <v>341</v>
      </c>
      <c r="J4" s="21">
        <v>0.15</v>
      </c>
      <c r="K4" s="17" t="s">
        <v>342</v>
      </c>
      <c r="L4" s="17" t="s">
        <v>285</v>
      </c>
    </row>
    <row r="5" spans="1:16" ht="19.5" customHeight="1">
      <c r="A5" s="5"/>
      <c r="B5" s="22"/>
      <c r="C5" s="22"/>
      <c r="D5" s="22"/>
      <c r="E5" s="22"/>
      <c r="F5" s="22"/>
      <c r="G5" s="5"/>
      <c r="H5" s="23"/>
      <c r="I5" s="26"/>
      <c r="J5" s="24"/>
      <c r="K5" s="22"/>
      <c r="L5" s="22"/>
    </row>
    <row r="6" spans="1:16" ht="19.5" customHeight="1">
      <c r="A6" s="5"/>
      <c r="B6" s="22"/>
      <c r="C6" s="22"/>
      <c r="D6" s="22"/>
      <c r="E6" s="22"/>
      <c r="F6" s="22"/>
      <c r="G6" s="5"/>
      <c r="H6" s="23"/>
      <c r="I6" s="26"/>
      <c r="J6" s="24"/>
      <c r="K6" s="22"/>
      <c r="L6" s="22"/>
    </row>
    <row r="7" spans="1:16" ht="19.5" customHeight="1">
      <c r="A7" s="5"/>
      <c r="B7" s="22"/>
      <c r="C7" s="22"/>
      <c r="D7" s="22"/>
      <c r="E7" s="22"/>
      <c r="F7" s="22"/>
      <c r="G7" s="5"/>
      <c r="H7" s="23"/>
      <c r="I7" s="26"/>
      <c r="J7" s="24"/>
      <c r="K7" s="22"/>
      <c r="L7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ageMargins left="0.5" right="0.5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selection activeCell="F16" sqref="F16"/>
    </sheetView>
  </sheetViews>
  <sheetFormatPr defaultColWidth="14.42578125" defaultRowHeight="15" customHeight="1"/>
  <cols>
    <col min="1" max="1" width="14" customWidth="1"/>
    <col min="2" max="2" width="12" customWidth="1"/>
    <col min="3" max="3" width="24" customWidth="1"/>
    <col min="4" max="4" width="18" customWidth="1"/>
    <col min="5" max="6" width="16" customWidth="1"/>
    <col min="7" max="7" width="12" customWidth="1"/>
    <col min="8" max="8" width="14" customWidth="1"/>
    <col min="9" max="9" width="12" customWidth="1"/>
    <col min="10" max="10" width="25" customWidth="1"/>
    <col min="11" max="26" width="8.7109375" customWidth="1"/>
  </cols>
  <sheetData>
    <row r="1" spans="1:18" ht="37.5" customHeight="1">
      <c r="A1" s="132" t="s">
        <v>381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382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219" t="s">
        <v>383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5"/>
    </row>
    <row r="4" spans="1:18" ht="21.75" customHeight="1">
      <c r="A4" s="136" t="s">
        <v>384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</row>
    <row r="5" spans="1:18" ht="21.75" customHeight="1">
      <c r="A5" s="1" t="s">
        <v>385</v>
      </c>
      <c r="B5" s="1" t="s">
        <v>386</v>
      </c>
      <c r="C5" s="1" t="s">
        <v>104</v>
      </c>
      <c r="D5" s="1" t="s">
        <v>387</v>
      </c>
      <c r="E5" s="1" t="s">
        <v>388</v>
      </c>
      <c r="F5" s="1" t="s">
        <v>389</v>
      </c>
      <c r="G5" s="1" t="s">
        <v>215</v>
      </c>
      <c r="H5" s="1" t="s">
        <v>390</v>
      </c>
      <c r="I5" s="1" t="s">
        <v>41</v>
      </c>
      <c r="J5" s="1" t="s">
        <v>156</v>
      </c>
    </row>
    <row r="6" spans="1:18" ht="19.5" customHeight="1">
      <c r="A6" s="17" t="s">
        <v>391</v>
      </c>
      <c r="B6" s="17" t="s">
        <v>218</v>
      </c>
      <c r="C6" s="2" t="str">
        <f>IFERROR(VLOOKUP(B6,'🏪 Vendors'!A:B,2,0),"")</f>
        <v xml:space="preserve">Mansoor Ali </v>
      </c>
      <c r="D6" s="3">
        <f>IFERROR(SUMIF('📦 PURCHASES ← Enter Here'!D:D,B6,'📦 PURCHASES ← Enter Here'!K:K),0)</f>
        <v>0</v>
      </c>
      <c r="E6" s="3">
        <f>IFERROR(SUMIF('📦 PURCHASES ← Enter Here'!D:D,B6,'📦 PURCHASES ← Enter Here'!L:L),0)</f>
        <v>0</v>
      </c>
      <c r="F6" s="3">
        <f t="shared" ref="F6:F8" si="0">D6-E6</f>
        <v>0</v>
      </c>
      <c r="G6" s="3">
        <f>IFERROR(VLOOKUP(B6,'🏪 Vendors'!A:H,8,0),0)</f>
        <v>90</v>
      </c>
      <c r="H6" s="2" t="str">
        <f ca="1">IFERROR(MAXIFS('📦 PURCHASES ← Enter Here'!D:D,'📦 PURCHASES ← Enter Here'!C:C,B6),"")</f>
        <v/>
      </c>
      <c r="I6" s="2" t="str">
        <f t="shared" ref="I6:I8" si="1">IF(F6&gt;0,"Pending","Cleared")</f>
        <v>Cleared</v>
      </c>
      <c r="J6" s="17"/>
    </row>
    <row r="7" spans="1:18" ht="19.5" customHeight="1">
      <c r="A7" s="22" t="s">
        <v>391</v>
      </c>
      <c r="B7" s="22" t="s">
        <v>223</v>
      </c>
      <c r="C7" s="5" t="str">
        <f>IFERROR(VLOOKUP(B7,'🏪 Vendors'!A:B,2,0),"")</f>
        <v xml:space="preserve">Saeed khan </v>
      </c>
      <c r="D7" s="6">
        <f>IFERROR(SUMIF('📦 PURCHASES ← Enter Here'!D:D,B7,'📦 PURCHASES ← Enter Here'!K:K),0)</f>
        <v>0</v>
      </c>
      <c r="E7" s="6">
        <f>IFERROR(SUMIF('📦 PURCHASES ← Enter Here'!D:D,B7,'📦 PURCHASES ← Enter Here'!L:L),0)</f>
        <v>0</v>
      </c>
      <c r="F7" s="6">
        <f t="shared" si="0"/>
        <v>0</v>
      </c>
      <c r="G7" s="6">
        <f>IFERROR(VLOOKUP(B7,'🏪 Vendors'!A:H,8,0),0)</f>
        <v>60</v>
      </c>
      <c r="H7" s="5" t="str">
        <f ca="1">IFERROR(MAXIFS('📦 PURCHASES ← Enter Here'!C:C,'📦 PURCHASES ← Enter Here'!C:C,B7),"")</f>
        <v/>
      </c>
      <c r="I7" s="5" t="str">
        <f t="shared" si="1"/>
        <v>Cleared</v>
      </c>
      <c r="J7" s="22"/>
    </row>
    <row r="8" spans="1:18" ht="19.5" customHeight="1">
      <c r="A8" s="17" t="s">
        <v>48</v>
      </c>
      <c r="B8" s="17" t="s">
        <v>241</v>
      </c>
      <c r="C8" s="2" t="str">
        <f>IFERROR(VLOOKUP(B8,'👷 Contractors'!A:B,2,0),"")</f>
        <v xml:space="preserve">Muhammad Arif </v>
      </c>
      <c r="D8" s="3">
        <f>IFERROR(SUMIF('🏗️ Site Log'!B:B,B8,'🏗️ Site Log'!H:H),0)</f>
        <v>0</v>
      </c>
      <c r="E8" s="3">
        <f>IFERROR(SUMIF('🧾 EXPENSES ← Enter Here'!G:G,"BuildRight Const.",'🧾 EXPENSES ← Enter Here'!J:J),0)</f>
        <v>0</v>
      </c>
      <c r="F8" s="3">
        <f t="shared" si="0"/>
        <v>0</v>
      </c>
      <c r="G8" s="19">
        <v>30</v>
      </c>
      <c r="H8" s="17"/>
      <c r="I8" s="2" t="str">
        <f t="shared" si="1"/>
        <v>Cleared</v>
      </c>
      <c r="J8" s="17" t="s">
        <v>392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R1"/>
    <mergeCell ref="A2:R2"/>
    <mergeCell ref="A3:M3"/>
    <mergeCell ref="A4:M4"/>
  </mergeCells>
  <conditionalFormatting sqref="I6:I1000">
    <cfRule type="cellIs" dxfId="7" priority="1" operator="equal">
      <formula>"Cleared"</formula>
    </cfRule>
  </conditionalFormatting>
  <conditionalFormatting sqref="I6:I1000">
    <cfRule type="cellIs" dxfId="6" priority="2" operator="equal">
      <formula>"Pending"</formula>
    </cfRule>
  </conditionalFormatting>
  <pageMargins left="0.5" right="0.5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967"/>
  <sheetViews>
    <sheetView showGridLines="0" tabSelected="1" workbookViewId="0">
      <pane ySplit="10" topLeftCell="A11" activePane="bottomLeft" state="frozen"/>
      <selection pane="bottomLeft" activeCell="J14" sqref="J14"/>
    </sheetView>
  </sheetViews>
  <sheetFormatPr defaultColWidth="14.42578125" defaultRowHeight="15" customHeight="1"/>
  <cols>
    <col min="1" max="1" width="14" customWidth="1"/>
    <col min="2" max="2" width="20.28515625" bestFit="1" customWidth="1"/>
    <col min="3" max="3" width="15.7109375" bestFit="1" customWidth="1"/>
    <col min="4" max="4" width="14" customWidth="1"/>
    <col min="5" max="6" width="22" customWidth="1"/>
    <col min="7" max="7" width="18" customWidth="1"/>
    <col min="8" max="9" width="16" customWidth="1"/>
    <col min="10" max="10" width="20" customWidth="1"/>
    <col min="11" max="11" width="18" customWidth="1"/>
    <col min="12" max="12" width="16.85546875" bestFit="1" customWidth="1"/>
    <col min="13" max="13" width="14" customWidth="1"/>
    <col min="14" max="14" width="28" customWidth="1"/>
    <col min="15" max="15" width="11.5703125" bestFit="1" customWidth="1"/>
    <col min="16" max="16" width="14.28515625" customWidth="1"/>
    <col min="17" max="17" width="21.5703125" bestFit="1" customWidth="1"/>
    <col min="18" max="18" width="16" customWidth="1"/>
    <col min="19" max="29" width="8.7109375" customWidth="1"/>
  </cols>
  <sheetData>
    <row r="1" spans="1:24" ht="37.5" customHeight="1">
      <c r="A1" s="132" t="s">
        <v>269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60"/>
      <c r="U1" s="60"/>
      <c r="V1" s="60"/>
      <c r="W1" s="60"/>
      <c r="X1" s="61"/>
    </row>
    <row r="2" spans="1:24" ht="18" customHeight="1">
      <c r="A2" s="220" t="s">
        <v>732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60"/>
      <c r="U2" s="60"/>
      <c r="V2" s="60"/>
      <c r="W2" s="60"/>
      <c r="X2" s="61"/>
    </row>
    <row r="3" spans="1:24" ht="27.75" customHeight="1">
      <c r="A3" s="221" t="s">
        <v>270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60"/>
      <c r="U3" s="60"/>
      <c r="V3" s="60"/>
      <c r="W3" s="60"/>
      <c r="X3" s="61"/>
    </row>
    <row r="4" spans="1:24" ht="19.5" customHeight="1">
      <c r="A4" s="144" t="s">
        <v>144</v>
      </c>
      <c r="B4" s="124"/>
      <c r="C4" s="124"/>
      <c r="D4" s="124"/>
      <c r="E4" s="125"/>
      <c r="F4" s="67"/>
      <c r="G4" s="154" t="s">
        <v>271</v>
      </c>
      <c r="H4" s="124"/>
      <c r="I4" s="124"/>
      <c r="J4" s="124"/>
      <c r="K4" s="125"/>
      <c r="L4" s="143" t="s">
        <v>272</v>
      </c>
      <c r="M4" s="223"/>
      <c r="N4" s="223"/>
      <c r="O4" s="223"/>
      <c r="P4" s="223"/>
      <c r="Q4" s="224" t="s">
        <v>273</v>
      </c>
      <c r="R4" s="224"/>
      <c r="S4" s="224"/>
      <c r="T4" s="60"/>
      <c r="U4" s="60"/>
      <c r="V4" s="60"/>
      <c r="W4" s="60"/>
      <c r="X4" s="61"/>
    </row>
    <row r="5" spans="1:24" ht="36" customHeight="1">
      <c r="A5" s="182">
        <f>SUM(H8:H49967)</f>
        <v>2580000</v>
      </c>
      <c r="B5" s="124"/>
      <c r="C5" s="124"/>
      <c r="D5" s="124"/>
      <c r="E5" s="125"/>
      <c r="F5" s="67"/>
      <c r="G5" s="183">
        <f>IFERROR(SUMIF(I8:I49967,"Bank Transfer",H8:H49967)+SUMIF(I8:I49967,"Cheque",H8:H49967)+SUMIF(I8:I49967,"Online Transfer",H8:H49967)+SUMIF(I8:I49967,"Pay Order",H8:H49967),0)</f>
        <v>685000</v>
      </c>
      <c r="H5" s="124"/>
      <c r="I5" s="124"/>
      <c r="J5" s="124"/>
      <c r="K5" s="125"/>
      <c r="L5" s="180">
        <f>IFERROR(SUMIF(I8:I49967,"Cash",H8:H49967),0)</f>
        <v>1895000</v>
      </c>
      <c r="M5" s="197"/>
      <c r="N5" s="197"/>
      <c r="O5" s="197"/>
      <c r="P5" s="197"/>
      <c r="Q5" s="225" t="e">
        <f ca="1">SUMPRODUCT((MONTH(C8:C4967)=MONTH(TODAY()))*(YEAR(C8:C4967)=YEAR(TODAY()))*H8:H4967)</f>
        <v>#VALUE!</v>
      </c>
      <c r="R5" s="225"/>
      <c r="S5" s="225"/>
      <c r="T5" s="60"/>
      <c r="U5" s="60"/>
      <c r="V5" s="60"/>
      <c r="W5" s="60"/>
      <c r="X5" s="61"/>
    </row>
    <row r="6" spans="1:24" ht="15" customHeight="1">
      <c r="T6" s="61"/>
      <c r="U6" s="61"/>
      <c r="V6" s="61"/>
      <c r="W6" s="61"/>
      <c r="X6" s="61"/>
    </row>
    <row r="7" spans="1:24" ht="21.75" customHeight="1">
      <c r="A7" s="226" t="s">
        <v>274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60"/>
      <c r="U7" s="60"/>
      <c r="V7" s="60"/>
      <c r="W7" s="60"/>
      <c r="X7" s="61"/>
    </row>
    <row r="8" spans="1:24" ht="31.5" customHeight="1">
      <c r="A8" s="1" t="s">
        <v>275</v>
      </c>
      <c r="B8" s="1" t="s">
        <v>276</v>
      </c>
      <c r="C8" s="1" t="s">
        <v>416</v>
      </c>
      <c r="D8" s="1" t="s">
        <v>372</v>
      </c>
      <c r="E8" s="1" t="s">
        <v>150</v>
      </c>
      <c r="F8" s="1" t="s">
        <v>733</v>
      </c>
      <c r="G8" s="1" t="s">
        <v>371</v>
      </c>
      <c r="H8" s="64" t="s">
        <v>44</v>
      </c>
      <c r="I8" s="64" t="s">
        <v>745</v>
      </c>
      <c r="J8" s="64" t="s">
        <v>746</v>
      </c>
      <c r="K8" s="1" t="s">
        <v>743</v>
      </c>
      <c r="L8" s="1" t="s">
        <v>664</v>
      </c>
      <c r="M8" s="1" t="s">
        <v>744</v>
      </c>
      <c r="N8" s="1" t="s">
        <v>278</v>
      </c>
      <c r="O8" s="1" t="s">
        <v>666</v>
      </c>
      <c r="P8" s="76" t="s">
        <v>279</v>
      </c>
      <c r="Q8" s="1" t="s">
        <v>280</v>
      </c>
      <c r="R8" s="1" t="s">
        <v>153</v>
      </c>
      <c r="T8" s="61"/>
      <c r="U8" s="61"/>
      <c r="V8" s="61"/>
      <c r="W8" s="61"/>
      <c r="X8" s="61"/>
    </row>
    <row r="9" spans="1:24" ht="19.5" customHeight="1">
      <c r="A9" s="218" t="s">
        <v>281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5"/>
    </row>
    <row r="11" spans="1:24" ht="19.5" customHeight="1">
      <c r="A11" s="79" t="str">
        <f>IF(B11&lt;&gt;"","RCP-"&amp;TEXT(B11,"000"),"")</f>
        <v>RCP-001</v>
      </c>
      <c r="B11" s="71">
        <v>1</v>
      </c>
      <c r="C11" s="74">
        <v>46157</v>
      </c>
      <c r="D11" s="70" t="s">
        <v>158</v>
      </c>
      <c r="E11" s="79" t="str">
        <f>IFERROR(VLOOKUP(D11,'👤 Customers'!A:C,3,0),"")</f>
        <v>Zulfiqar Ali Sapro</v>
      </c>
      <c r="F11" s="88" t="s">
        <v>738</v>
      </c>
      <c r="G11" s="2">
        <f>IFERROR(VLOOKUP(D11,'👤 Customers'!A:K,11,0),"")</f>
        <v>202</v>
      </c>
      <c r="H11" s="80">
        <v>385000</v>
      </c>
      <c r="I11" s="70" t="s">
        <v>283</v>
      </c>
      <c r="J11" s="17" t="s">
        <v>136</v>
      </c>
      <c r="K11" s="70" t="s">
        <v>284</v>
      </c>
      <c r="L11" s="2" t="str">
        <f>'📅 Installments AUTO'!A11</f>
        <v>F-202-01</v>
      </c>
      <c r="M11" s="70" t="s">
        <v>669</v>
      </c>
      <c r="N11" s="70" t="s">
        <v>286</v>
      </c>
      <c r="O11" s="70" t="s">
        <v>665</v>
      </c>
      <c r="P11" s="2">
        <f>IFERROR(COUNTIFS('📅 Installments AUTO'!C:C,G11,'📅 Installments AUTO'!N:N,"Paid"),"")</f>
        <v>0</v>
      </c>
      <c r="Q11" s="75">
        <f>IFERROR(SUMIF(G$11:G11,G11,H$11:H11),0)</f>
        <v>385000</v>
      </c>
      <c r="R11" s="75">
        <f>IFERROR(VLOOKUP(G11,'🏘️ Flat Register'!A:H,8,0)-Q11,0)</f>
        <v>5285000</v>
      </c>
    </row>
    <row r="12" spans="1:24" ht="19.5" customHeight="1">
      <c r="A12" s="79" t="str">
        <f t="shared" ref="A12" si="0">IF(B12&lt;&gt;"","R-"&amp;TEXT(B12,"000"),"")</f>
        <v>R-002</v>
      </c>
      <c r="B12" s="71">
        <v>2</v>
      </c>
      <c r="C12" s="74">
        <v>46188</v>
      </c>
      <c r="D12" s="70" t="s">
        <v>158</v>
      </c>
      <c r="E12" s="79" t="str">
        <f>IFERROR(VLOOKUP(D12,'👤 Customers'!A:C,3,0),"")</f>
        <v>Zulfiqar Ali Sapro</v>
      </c>
      <c r="F12" s="88" t="s">
        <v>739</v>
      </c>
      <c r="G12" s="2">
        <f>IFERROR(VLOOKUP(D12,'👤 Customers'!A:K,11,0),"")</f>
        <v>202</v>
      </c>
      <c r="H12" s="80">
        <v>1190000</v>
      </c>
      <c r="I12" s="70" t="s">
        <v>205</v>
      </c>
      <c r="J12" s="17" t="s">
        <v>205</v>
      </c>
      <c r="K12" s="70"/>
      <c r="L12" s="2" t="str">
        <f>'📅 Installments AUTO'!A11</f>
        <v>F-202-01</v>
      </c>
      <c r="M12" s="70" t="s">
        <v>669</v>
      </c>
      <c r="N12" s="70" t="s">
        <v>286</v>
      </c>
      <c r="O12" s="70" t="s">
        <v>665</v>
      </c>
      <c r="P12" s="5">
        <f>IFERROR(COUNTIFS('📅 Installments AUTO'!C:C,G12,'📅 Installments AUTO'!N:N,"Paid"),"")</f>
        <v>0</v>
      </c>
      <c r="Q12" s="75">
        <f t="shared" ref="Q12" si="1">IFERROR(SUMIF(G$11:G12,G12,H$11:H12),0)</f>
        <v>1575000</v>
      </c>
      <c r="R12" s="75">
        <f>IFERROR(VLOOKUP(G12,'🏘️ Flat Register'!A:H,8,0)-Q12,0)</f>
        <v>4095000</v>
      </c>
    </row>
    <row r="13" spans="1:24">
      <c r="A13" s="79" t="str">
        <f>IF(B13&lt;&gt;"","R-"&amp;TEXT(B13,"000"),"")</f>
        <v>R-003</v>
      </c>
      <c r="B13" s="71">
        <v>3</v>
      </c>
      <c r="C13" s="74">
        <v>46218</v>
      </c>
      <c r="D13" s="70" t="s">
        <v>158</v>
      </c>
      <c r="E13" s="79" t="str">
        <f>IFERROR(VLOOKUP(D13,'👤 Customers'!A:C,3,0),"")</f>
        <v>Zulfiqar Ali Sapro</v>
      </c>
      <c r="F13" s="88" t="s">
        <v>741</v>
      </c>
      <c r="G13" s="2">
        <f>IFERROR(VLOOKUP(D13,'👤 Customers'!A:K,11,0),"")</f>
        <v>202</v>
      </c>
      <c r="H13" s="80">
        <v>150000</v>
      </c>
      <c r="I13" s="70" t="s">
        <v>205</v>
      </c>
      <c r="J13" s="17" t="s">
        <v>205</v>
      </c>
      <c r="K13" s="70"/>
      <c r="L13" s="2" t="str">
        <f>'📅 Installments AUTO'!A11</f>
        <v>F-202-01</v>
      </c>
      <c r="M13" s="70" t="s">
        <v>669</v>
      </c>
      <c r="N13" s="70" t="s">
        <v>286</v>
      </c>
      <c r="O13" s="70" t="s">
        <v>665</v>
      </c>
      <c r="P13" s="5">
        <f>IFERROR(COUNTIFS('📅 Installments AUTO'!C:C,G13,'📅 Installments AUTO'!N:N,"Paid"),"")</f>
        <v>0</v>
      </c>
      <c r="Q13" s="75">
        <f t="shared" ref="Q13" si="2">IFERROR(SUMIF(G$11:G13,G13,H$11:H13),0)</f>
        <v>1725000</v>
      </c>
      <c r="R13" s="75">
        <f>IFERROR(VLOOKUP(G13,'🏘️ Flat Register'!A:H,8,0)-Q13,0)</f>
        <v>3945000</v>
      </c>
    </row>
    <row r="14" spans="1:24">
      <c r="A14" s="79" t="str">
        <f>IF(B14&lt;&gt;"","R-"&amp;TEXT(B14,"000"),"")</f>
        <v>R-004</v>
      </c>
      <c r="B14" s="71">
        <v>4</v>
      </c>
      <c r="C14" s="74">
        <v>46249</v>
      </c>
      <c r="D14" s="70" t="s">
        <v>158</v>
      </c>
      <c r="E14" s="79" t="str">
        <f>IFERROR(VLOOKUP(D14,'👤 Customers'!A:C,3,0),"")</f>
        <v>Zulfiqar Ali Sapro</v>
      </c>
      <c r="F14" s="88" t="s">
        <v>741</v>
      </c>
      <c r="G14" s="2">
        <f>IFERROR(VLOOKUP(D14,'👤 Customers'!A:K,11,0),"")</f>
        <v>202</v>
      </c>
      <c r="H14" s="80">
        <v>275000</v>
      </c>
      <c r="I14" s="70" t="s">
        <v>205</v>
      </c>
      <c r="J14" s="17" t="s">
        <v>205</v>
      </c>
      <c r="K14" s="70"/>
      <c r="L14" s="2" t="str">
        <f>'📅 Installments AUTO'!A11</f>
        <v>F-202-01</v>
      </c>
      <c r="M14" s="70" t="s">
        <v>669</v>
      </c>
      <c r="N14" s="70" t="s">
        <v>286</v>
      </c>
      <c r="O14" s="70" t="s">
        <v>665</v>
      </c>
      <c r="P14" s="5">
        <f>IFERROR(COUNTIFS('📅 Installments AUTO'!C:C,G14,'📅 Installments AUTO'!N:N,"Paid"),"")</f>
        <v>0</v>
      </c>
      <c r="Q14" s="75">
        <f t="shared" ref="Q14" si="3">IFERROR(SUMIF(G$11:G14,G14,H$11:H14),0)</f>
        <v>2000000</v>
      </c>
      <c r="R14" s="75">
        <f>IFERROR(VLOOKUP(G14,'🏘️ Flat Register'!A:H,8,0)-Q14,0)</f>
        <v>3670000</v>
      </c>
    </row>
    <row r="15" spans="1:24">
      <c r="A15" s="79" t="str">
        <f>IF(B15&lt;&gt;"","R-"&amp;TEXT(B15,"000"),"")</f>
        <v>R-005</v>
      </c>
      <c r="B15" s="71">
        <v>5</v>
      </c>
      <c r="C15" s="74">
        <v>46280</v>
      </c>
      <c r="D15" s="70" t="s">
        <v>158</v>
      </c>
      <c r="E15" s="79" t="str">
        <f>IFERROR(VLOOKUP(D15,'👤 Customers'!A:C,3,0),"")</f>
        <v>Zulfiqar Ali Sapro</v>
      </c>
      <c r="F15" s="88" t="s">
        <v>741</v>
      </c>
      <c r="G15" s="2">
        <f>IFERROR(VLOOKUP(D15,'👤 Customers'!A:K,11,0),"")</f>
        <v>202</v>
      </c>
      <c r="H15" s="80">
        <v>280000</v>
      </c>
      <c r="I15" s="70" t="s">
        <v>205</v>
      </c>
      <c r="J15" s="17" t="s">
        <v>205</v>
      </c>
      <c r="K15" s="70"/>
      <c r="L15" s="2" t="str">
        <f>'📅 Installments AUTO'!A12</f>
        <v>F-202-02</v>
      </c>
      <c r="M15" s="70" t="s">
        <v>669</v>
      </c>
      <c r="N15" s="70" t="s">
        <v>670</v>
      </c>
      <c r="O15" s="70" t="s">
        <v>665</v>
      </c>
      <c r="P15" s="5">
        <f>IFERROR(COUNTIFS('📅 Installments AUTO'!C:C,G15,'📅 Installments AUTO'!N:N,"Paid"),"")</f>
        <v>0</v>
      </c>
      <c r="Q15" s="75">
        <f t="shared" ref="Q15:Q16" si="4">IFERROR(SUMIF(G$11:G15,G15,H$11:H15),0)</f>
        <v>2280000</v>
      </c>
      <c r="R15" s="75">
        <f>IFERROR(VLOOKUP(G15,'🏘️ Flat Register'!A:H,8,0)-Q15,0)</f>
        <v>3390000</v>
      </c>
    </row>
    <row r="16" spans="1:24">
      <c r="A16" s="79" t="str">
        <f t="shared" ref="A16:A19" si="5">IF(B16&lt;&gt;"","R-"&amp;TEXT(B16,"000"),"")</f>
        <v>R-006</v>
      </c>
      <c r="B16" s="71">
        <v>6</v>
      </c>
      <c r="C16" s="70"/>
      <c r="D16" s="70" t="s">
        <v>158</v>
      </c>
      <c r="E16" s="79" t="str">
        <f>IFERROR(VLOOKUP(D16,'👤 Customers'!A:C,3,0),"")</f>
        <v>Zulfiqar Ali Sapro</v>
      </c>
      <c r="F16" s="88" t="s">
        <v>741</v>
      </c>
      <c r="G16" s="5">
        <f>IFERROR(VLOOKUP(D16,'👤 Customers'!A:K,11,0),"")</f>
        <v>202</v>
      </c>
      <c r="H16" s="80">
        <v>150000</v>
      </c>
      <c r="I16" s="70" t="s">
        <v>857</v>
      </c>
      <c r="J16" s="17" t="s">
        <v>140</v>
      </c>
      <c r="K16" s="70">
        <v>4525</v>
      </c>
      <c r="L16" s="2"/>
      <c r="M16" s="70"/>
      <c r="N16" s="70"/>
      <c r="O16" s="70"/>
      <c r="P16" s="5">
        <f>IFERROR(COUNTIFS('📅 Installments AUTO'!C:C,G16,'📅 Installments AUTO'!N:N,"Paid"),"")</f>
        <v>0</v>
      </c>
      <c r="Q16" s="75">
        <f t="shared" si="4"/>
        <v>2430000</v>
      </c>
      <c r="R16" s="75">
        <f>IFERROR(VLOOKUP(G16,'🏘️ Flat Register'!A:H,8,0)-Q16,0)</f>
        <v>3240000</v>
      </c>
    </row>
    <row r="17" spans="1:18">
      <c r="A17" s="79" t="str">
        <f t="shared" si="5"/>
        <v/>
      </c>
      <c r="B17" s="71"/>
      <c r="C17" s="70"/>
      <c r="D17" s="70"/>
      <c r="E17" s="79" t="str">
        <f>IFERROR(VLOOKUP(D17,'👤 Customers'!A:C,2,0),"")</f>
        <v/>
      </c>
      <c r="F17" s="88" t="s">
        <v>735</v>
      </c>
      <c r="G17" s="5" t="str">
        <f>IFERROR(VLOOKUP(D17,'👤 Customers'!A:K,10,0),"")</f>
        <v/>
      </c>
      <c r="H17" s="80">
        <v>150000</v>
      </c>
      <c r="I17" s="70" t="s">
        <v>857</v>
      </c>
      <c r="J17" s="70" t="s">
        <v>140</v>
      </c>
      <c r="K17" s="70"/>
      <c r="L17" s="2"/>
      <c r="M17" s="70"/>
      <c r="N17" s="70"/>
      <c r="O17" s="70"/>
      <c r="P17" s="5">
        <f>IFERROR(COUNTIFS('📅 Installments AUTO'!C:C,G17,'📅 Installments AUTO'!N:N,"Paid"),"")</f>
        <v>0</v>
      </c>
      <c r="Q17" s="75">
        <f t="shared" ref="Q17:Q19" si="6">IFERROR(SUMIF(G$11:G17,G17,H$11:H17),0)</f>
        <v>150000</v>
      </c>
      <c r="R17" s="75">
        <f>IFERROR(VLOOKUP(G17,'🏘️ Flat Register'!A:H,8,0)-Q17,0)</f>
        <v>0</v>
      </c>
    </row>
    <row r="18" spans="1:18">
      <c r="A18" s="79" t="str">
        <f t="shared" si="5"/>
        <v/>
      </c>
      <c r="B18" s="71"/>
      <c r="C18" s="70"/>
      <c r="D18" s="70"/>
      <c r="E18" s="79" t="str">
        <f>IFERROR(VLOOKUP(D18,'👤 Customers'!A:C,2,0),"")</f>
        <v/>
      </c>
      <c r="F18" s="88" t="s">
        <v>735</v>
      </c>
      <c r="G18" s="5" t="str">
        <f>IFERROR(VLOOKUP(D18,'👤 Customers'!A:K,10,0),"")</f>
        <v/>
      </c>
      <c r="H18" s="80"/>
      <c r="I18" s="70"/>
      <c r="J18" s="70"/>
      <c r="K18" s="70"/>
      <c r="L18" s="2"/>
      <c r="M18" s="70"/>
      <c r="N18" s="70"/>
      <c r="O18" s="70"/>
      <c r="P18" s="5">
        <f>IFERROR(COUNTIFS('📅 Installments AUTO'!C:C,G18,'📅 Installments AUTO'!N:N,"Paid"),"")</f>
        <v>0</v>
      </c>
      <c r="Q18" s="75">
        <f t="shared" si="6"/>
        <v>150000</v>
      </c>
      <c r="R18" s="75">
        <f>IFERROR(VLOOKUP(G18,'🏘️ Flat Register'!A:H,8,0)-Q18,0)</f>
        <v>0</v>
      </c>
    </row>
    <row r="19" spans="1:18">
      <c r="A19" s="79" t="str">
        <f t="shared" si="5"/>
        <v/>
      </c>
      <c r="B19" s="71"/>
      <c r="C19" s="70"/>
      <c r="D19" s="70"/>
      <c r="E19" s="79" t="str">
        <f>IFERROR(VLOOKUP(D19,'👤 Customers'!A:C,2,0),"")</f>
        <v/>
      </c>
      <c r="F19" s="88" t="s">
        <v>735</v>
      </c>
      <c r="G19" s="5" t="str">
        <f>IFERROR(VLOOKUP(D19,'👤 Customers'!A:K,10,0),"")</f>
        <v/>
      </c>
      <c r="H19" s="80"/>
      <c r="I19" s="70"/>
      <c r="J19" s="70"/>
      <c r="K19" s="70"/>
      <c r="L19" s="2"/>
      <c r="M19" s="70"/>
      <c r="N19" s="70"/>
      <c r="O19" s="70"/>
      <c r="P19" s="5">
        <f>IFERROR(COUNTIFS('📅 Installments AUTO'!C:C,G19,'📅 Installments AUTO'!N:N,"Paid"),"")</f>
        <v>0</v>
      </c>
      <c r="Q19" s="75">
        <f t="shared" si="6"/>
        <v>150000</v>
      </c>
      <c r="R19" s="75">
        <f>IFERROR(VLOOKUP(G19,'🏘️ Flat Register'!A:H,8,0)-Q19,0)</f>
        <v>0</v>
      </c>
    </row>
    <row r="21" spans="1:18" ht="15.75" customHeight="1"/>
    <row r="22" spans="1:18" ht="15.75" customHeight="1"/>
    <row r="23" spans="1:18" ht="15.75" customHeight="1">
      <c r="H23" s="20"/>
      <c r="I23" s="20"/>
      <c r="R23" s="20"/>
    </row>
    <row r="24" spans="1:18" ht="15.75" customHeight="1">
      <c r="H24" s="20"/>
      <c r="I24" s="20"/>
      <c r="R24" s="20"/>
    </row>
    <row r="25" spans="1:18" ht="15.75" customHeight="1">
      <c r="H25" s="20"/>
      <c r="I25" s="20"/>
      <c r="R25" s="20"/>
    </row>
    <row r="26" spans="1:18" ht="15.75" customHeight="1">
      <c r="H26" s="20"/>
      <c r="I26" s="20"/>
      <c r="R26" s="20"/>
    </row>
    <row r="27" spans="1:18" ht="15.75" customHeight="1">
      <c r="H27" s="20"/>
      <c r="I27" s="20"/>
      <c r="R27" s="20"/>
    </row>
    <row r="28" spans="1:18" ht="15.75" customHeight="1">
      <c r="H28" s="20"/>
      <c r="I28" s="20"/>
      <c r="R28" s="20"/>
    </row>
    <row r="29" spans="1:18" ht="15.75" customHeight="1">
      <c r="H29" s="20"/>
      <c r="I29" s="20"/>
      <c r="R29" s="20"/>
    </row>
    <row r="30" spans="1:18" ht="15.75" customHeight="1">
      <c r="H30" s="20"/>
      <c r="I30" s="20"/>
      <c r="R30" s="20"/>
    </row>
    <row r="31" spans="1:18" ht="15.75" customHeight="1">
      <c r="H31" s="20"/>
      <c r="I31" s="20"/>
      <c r="R31" s="20"/>
    </row>
    <row r="32" spans="1:18" ht="15.75" customHeight="1">
      <c r="H32" s="20"/>
      <c r="I32" s="20"/>
      <c r="R32" s="20"/>
    </row>
    <row r="33" spans="8:18" ht="15.75" customHeight="1">
      <c r="H33" s="20"/>
      <c r="I33" s="20"/>
      <c r="R33" s="20"/>
    </row>
    <row r="34" spans="8:18" ht="15.75" customHeight="1">
      <c r="H34" s="20"/>
      <c r="I34" s="20"/>
      <c r="R34" s="20"/>
    </row>
    <row r="35" spans="8:18" ht="15.75" customHeight="1">
      <c r="H35" s="20"/>
      <c r="I35" s="20"/>
      <c r="R35" s="20"/>
    </row>
    <row r="36" spans="8:18" ht="15.75" customHeight="1">
      <c r="H36" s="20"/>
      <c r="I36" s="20"/>
      <c r="R36" s="20"/>
    </row>
    <row r="37" spans="8:18" ht="15.75" customHeight="1">
      <c r="H37" s="20"/>
      <c r="I37" s="20"/>
      <c r="R37" s="20"/>
    </row>
    <row r="38" spans="8:18" ht="15.75" customHeight="1">
      <c r="H38" s="20"/>
      <c r="I38" s="20"/>
      <c r="R38" s="20"/>
    </row>
    <row r="39" spans="8:18" ht="15.75" customHeight="1">
      <c r="H39" s="20"/>
      <c r="I39" s="20"/>
      <c r="R39" s="20"/>
    </row>
    <row r="40" spans="8:18" ht="15.75" customHeight="1">
      <c r="H40" s="20"/>
      <c r="I40" s="20"/>
      <c r="R40" s="20"/>
    </row>
    <row r="41" spans="8:18" ht="15.75" customHeight="1">
      <c r="H41" s="20"/>
      <c r="I41" s="20"/>
      <c r="R41" s="20"/>
    </row>
    <row r="42" spans="8:18" ht="15.75" customHeight="1">
      <c r="H42" s="20"/>
      <c r="I42" s="20"/>
      <c r="R42" s="20"/>
    </row>
    <row r="43" spans="8:18" ht="15.75" customHeight="1">
      <c r="H43" s="20"/>
      <c r="I43" s="20"/>
      <c r="R43" s="20"/>
    </row>
    <row r="44" spans="8:18" ht="15.75" customHeight="1">
      <c r="H44" s="20"/>
      <c r="I44" s="20"/>
      <c r="R44" s="20"/>
    </row>
    <row r="45" spans="8:18" ht="15.75" customHeight="1">
      <c r="H45" s="20"/>
      <c r="I45" s="20"/>
      <c r="R45" s="20"/>
    </row>
    <row r="46" spans="8:18" ht="15.75" customHeight="1">
      <c r="H46" s="20"/>
      <c r="I46" s="20"/>
      <c r="R46" s="20"/>
    </row>
    <row r="47" spans="8:18" ht="15.75" customHeight="1">
      <c r="H47" s="20"/>
      <c r="I47" s="20"/>
      <c r="R47" s="20"/>
    </row>
    <row r="48" spans="8:18" ht="15.75" customHeight="1">
      <c r="H48" s="20"/>
      <c r="I48" s="20"/>
      <c r="R48" s="20"/>
    </row>
    <row r="49" spans="8:18" ht="15.75" customHeight="1">
      <c r="H49" s="20"/>
      <c r="I49" s="20"/>
      <c r="R49" s="20"/>
    </row>
    <row r="50" spans="8:18" ht="15.75" customHeight="1">
      <c r="H50" s="20"/>
      <c r="I50" s="20"/>
      <c r="R50" s="20"/>
    </row>
    <row r="51" spans="8:18" ht="15.75" customHeight="1">
      <c r="H51" s="20"/>
      <c r="I51" s="20"/>
      <c r="R51" s="20"/>
    </row>
    <row r="52" spans="8:18" ht="15.75" customHeight="1">
      <c r="H52" s="20"/>
      <c r="I52" s="20"/>
      <c r="R52" s="20"/>
    </row>
    <row r="53" spans="8:18" ht="15.75" customHeight="1">
      <c r="H53" s="20"/>
      <c r="I53" s="20"/>
      <c r="R53" s="20"/>
    </row>
    <row r="54" spans="8:18" ht="15.75" customHeight="1">
      <c r="H54" s="20"/>
      <c r="I54" s="20"/>
      <c r="R54" s="20"/>
    </row>
    <row r="55" spans="8:18" ht="15.75" customHeight="1">
      <c r="H55" s="20"/>
      <c r="I55" s="20"/>
      <c r="R55" s="20"/>
    </row>
    <row r="56" spans="8:18" ht="15.75" customHeight="1">
      <c r="H56" s="20"/>
      <c r="I56" s="20"/>
      <c r="R56" s="20"/>
    </row>
    <row r="57" spans="8:18" ht="15.75" customHeight="1">
      <c r="H57" s="20"/>
      <c r="I57" s="20"/>
      <c r="R57" s="20"/>
    </row>
    <row r="58" spans="8:18" ht="15.75" customHeight="1">
      <c r="H58" s="20"/>
      <c r="I58" s="20"/>
      <c r="R58" s="20"/>
    </row>
    <row r="59" spans="8:18" ht="15.75" customHeight="1">
      <c r="H59" s="20"/>
      <c r="I59" s="20"/>
      <c r="R59" s="20"/>
    </row>
    <row r="60" spans="8:18" ht="15.75" customHeight="1">
      <c r="H60" s="20"/>
      <c r="I60" s="20"/>
      <c r="R60" s="20"/>
    </row>
    <row r="61" spans="8:18" ht="15.75" customHeight="1">
      <c r="H61" s="20"/>
      <c r="I61" s="20"/>
      <c r="R61" s="20"/>
    </row>
    <row r="62" spans="8:18" ht="15.75" customHeight="1">
      <c r="H62" s="20"/>
      <c r="I62" s="20"/>
      <c r="R62" s="20"/>
    </row>
    <row r="63" spans="8:18" ht="15.75" customHeight="1">
      <c r="H63" s="20"/>
      <c r="I63" s="20"/>
      <c r="R63" s="20"/>
    </row>
    <row r="64" spans="8:18" ht="15.75" customHeight="1">
      <c r="H64" s="20"/>
      <c r="I64" s="20"/>
      <c r="R64" s="20"/>
    </row>
    <row r="65" spans="8:18" ht="15.75" customHeight="1">
      <c r="H65" s="20"/>
      <c r="I65" s="20"/>
      <c r="R65" s="20"/>
    </row>
    <row r="66" spans="8:18" ht="15.75" customHeight="1">
      <c r="H66" s="20"/>
      <c r="I66" s="20"/>
      <c r="R66" s="20"/>
    </row>
    <row r="67" spans="8:18" ht="15.75" customHeight="1">
      <c r="H67" s="20"/>
      <c r="I67" s="20"/>
      <c r="R67" s="20"/>
    </row>
    <row r="68" spans="8:18" ht="15.75" customHeight="1">
      <c r="H68" s="20"/>
      <c r="I68" s="20"/>
      <c r="R68" s="20"/>
    </row>
    <row r="69" spans="8:18" ht="15.75" customHeight="1">
      <c r="H69" s="20"/>
      <c r="I69" s="20"/>
      <c r="R69" s="20"/>
    </row>
    <row r="70" spans="8:18" ht="15.75" customHeight="1">
      <c r="H70" s="20"/>
      <c r="I70" s="20"/>
      <c r="R70" s="20"/>
    </row>
    <row r="71" spans="8:18" ht="15.75" customHeight="1">
      <c r="H71" s="20"/>
      <c r="I71" s="20"/>
      <c r="R71" s="20"/>
    </row>
    <row r="72" spans="8:18" ht="15.75" customHeight="1">
      <c r="H72" s="20"/>
      <c r="I72" s="20"/>
      <c r="R72" s="20"/>
    </row>
    <row r="73" spans="8:18" ht="15.75" customHeight="1">
      <c r="H73" s="20"/>
      <c r="I73" s="20"/>
      <c r="R73" s="20"/>
    </row>
    <row r="74" spans="8:18" ht="15.75" customHeight="1">
      <c r="H74" s="20"/>
      <c r="I74" s="20"/>
      <c r="R74" s="20"/>
    </row>
    <row r="75" spans="8:18" ht="15.75" customHeight="1">
      <c r="H75" s="20"/>
      <c r="I75" s="20"/>
      <c r="R75" s="20"/>
    </row>
    <row r="76" spans="8:18" ht="15.75" customHeight="1">
      <c r="H76" s="20"/>
      <c r="I76" s="20"/>
      <c r="R76" s="20"/>
    </row>
    <row r="77" spans="8:18" ht="15.75" customHeight="1">
      <c r="H77" s="20"/>
      <c r="I77" s="20"/>
      <c r="R77" s="20"/>
    </row>
    <row r="78" spans="8:18" ht="15.75" customHeight="1">
      <c r="H78" s="20"/>
      <c r="I78" s="20"/>
      <c r="R78" s="20"/>
    </row>
    <row r="79" spans="8:18" ht="15.75" customHeight="1">
      <c r="H79" s="20"/>
      <c r="I79" s="20"/>
      <c r="R79" s="20"/>
    </row>
    <row r="80" spans="8:18" ht="15.75" customHeight="1">
      <c r="H80" s="20"/>
      <c r="I80" s="20"/>
      <c r="R80" s="20"/>
    </row>
    <row r="81" spans="8:18" ht="15.75" customHeight="1">
      <c r="H81" s="20"/>
      <c r="I81" s="20"/>
      <c r="R81" s="20"/>
    </row>
    <row r="82" spans="8:18" ht="15.75" customHeight="1">
      <c r="H82" s="20"/>
      <c r="I82" s="20"/>
      <c r="R82" s="20"/>
    </row>
    <row r="83" spans="8:18" ht="15.75" customHeight="1">
      <c r="H83" s="20"/>
      <c r="I83" s="20"/>
      <c r="R83" s="20"/>
    </row>
    <row r="84" spans="8:18" ht="15.75" customHeight="1">
      <c r="H84" s="20"/>
      <c r="I84" s="20"/>
      <c r="R84" s="20"/>
    </row>
    <row r="85" spans="8:18" ht="15.75" customHeight="1">
      <c r="H85" s="20"/>
      <c r="I85" s="20"/>
      <c r="R85" s="20"/>
    </row>
    <row r="86" spans="8:18" ht="15.75" customHeight="1">
      <c r="H86" s="20"/>
      <c r="I86" s="20"/>
      <c r="R86" s="20"/>
    </row>
    <row r="87" spans="8:18" ht="15.75" customHeight="1">
      <c r="H87" s="20"/>
      <c r="I87" s="20"/>
      <c r="R87" s="20"/>
    </row>
    <row r="88" spans="8:18" ht="15.75" customHeight="1">
      <c r="H88" s="20"/>
      <c r="I88" s="20"/>
      <c r="R88" s="20"/>
    </row>
    <row r="89" spans="8:18" ht="15.75" customHeight="1">
      <c r="H89" s="20"/>
      <c r="I89" s="20"/>
      <c r="R89" s="20"/>
    </row>
    <row r="90" spans="8:18" ht="15.75" customHeight="1">
      <c r="H90" s="20"/>
      <c r="I90" s="20"/>
      <c r="R90" s="20"/>
    </row>
    <row r="91" spans="8:18" ht="15.75" customHeight="1">
      <c r="H91" s="20"/>
      <c r="I91" s="20"/>
      <c r="R91" s="20"/>
    </row>
    <row r="92" spans="8:18" ht="15.75" customHeight="1">
      <c r="H92" s="20"/>
      <c r="I92" s="20"/>
      <c r="R92" s="20"/>
    </row>
    <row r="93" spans="8:18" ht="15.75" customHeight="1">
      <c r="H93" s="20"/>
      <c r="I93" s="20"/>
      <c r="R93" s="20"/>
    </row>
    <row r="94" spans="8:18" ht="15.75" customHeight="1">
      <c r="H94" s="20"/>
      <c r="I94" s="20"/>
      <c r="R94" s="20"/>
    </row>
    <row r="95" spans="8:18" ht="15.75" customHeight="1">
      <c r="H95" s="20"/>
      <c r="I95" s="20"/>
      <c r="R95" s="20"/>
    </row>
    <row r="96" spans="8:18" ht="15.75" customHeight="1">
      <c r="H96" s="20"/>
      <c r="I96" s="20"/>
      <c r="R96" s="20"/>
    </row>
    <row r="97" spans="8:18" ht="15.75" customHeight="1">
      <c r="H97" s="20"/>
      <c r="I97" s="20"/>
      <c r="R97" s="20"/>
    </row>
    <row r="98" spans="8:18" ht="15.75" customHeight="1">
      <c r="H98" s="20"/>
      <c r="I98" s="20"/>
      <c r="R98" s="20"/>
    </row>
    <row r="99" spans="8:18" ht="15.75" customHeight="1">
      <c r="H99" s="20"/>
      <c r="I99" s="20"/>
      <c r="R99" s="20"/>
    </row>
    <row r="100" spans="8:18" ht="15.75" customHeight="1">
      <c r="H100" s="20"/>
      <c r="I100" s="20"/>
      <c r="R100" s="20"/>
    </row>
    <row r="101" spans="8:18" ht="15.75" customHeight="1">
      <c r="H101" s="20"/>
      <c r="I101" s="20"/>
      <c r="R101" s="20"/>
    </row>
    <row r="102" spans="8:18" ht="15.75" customHeight="1">
      <c r="H102" s="20"/>
      <c r="I102" s="20"/>
      <c r="R102" s="20"/>
    </row>
    <row r="103" spans="8:18" ht="15.75" customHeight="1">
      <c r="H103" s="20"/>
      <c r="I103" s="20"/>
      <c r="R103" s="20"/>
    </row>
    <row r="104" spans="8:18" ht="15.75" customHeight="1">
      <c r="H104" s="20"/>
      <c r="I104" s="20"/>
      <c r="R104" s="20"/>
    </row>
    <row r="105" spans="8:18" ht="15.75" customHeight="1">
      <c r="H105" s="20"/>
      <c r="I105" s="20"/>
      <c r="R105" s="20"/>
    </row>
    <row r="106" spans="8:18" ht="15.75" customHeight="1">
      <c r="H106" s="20"/>
      <c r="I106" s="20"/>
      <c r="R106" s="20"/>
    </row>
    <row r="107" spans="8:18" ht="15.75" customHeight="1">
      <c r="H107" s="20"/>
      <c r="I107" s="20"/>
      <c r="R107" s="20"/>
    </row>
    <row r="108" spans="8:18" ht="15.75" customHeight="1">
      <c r="H108" s="20"/>
      <c r="I108" s="20"/>
      <c r="R108" s="20"/>
    </row>
    <row r="109" spans="8:18" ht="15.75" customHeight="1">
      <c r="H109" s="20"/>
      <c r="I109" s="20"/>
      <c r="R109" s="20"/>
    </row>
    <row r="110" spans="8:18" ht="15.75" customHeight="1">
      <c r="H110" s="20"/>
      <c r="I110" s="20"/>
      <c r="R110" s="20"/>
    </row>
    <row r="111" spans="8:18" ht="15.75" customHeight="1">
      <c r="H111" s="20"/>
      <c r="I111" s="20"/>
      <c r="R111" s="20"/>
    </row>
    <row r="112" spans="8:18" ht="15.75" customHeight="1">
      <c r="H112" s="20"/>
      <c r="I112" s="20"/>
      <c r="R112" s="20"/>
    </row>
    <row r="113" spans="8:18" ht="15.75" customHeight="1">
      <c r="H113" s="20"/>
      <c r="I113" s="20"/>
      <c r="R113" s="20"/>
    </row>
    <row r="114" spans="8:18" ht="15.75" customHeight="1">
      <c r="H114" s="20"/>
      <c r="I114" s="20"/>
      <c r="R114" s="20"/>
    </row>
    <row r="115" spans="8:18" ht="15.75" customHeight="1">
      <c r="H115" s="20"/>
      <c r="I115" s="20"/>
      <c r="R115" s="20"/>
    </row>
    <row r="116" spans="8:18" ht="15.75" customHeight="1">
      <c r="H116" s="20"/>
      <c r="I116" s="20"/>
      <c r="R116" s="20"/>
    </row>
    <row r="117" spans="8:18" ht="15.75" customHeight="1">
      <c r="H117" s="20"/>
      <c r="I117" s="20"/>
      <c r="R117" s="20"/>
    </row>
    <row r="118" spans="8:18" ht="15.75" customHeight="1">
      <c r="H118" s="20"/>
      <c r="I118" s="20"/>
      <c r="R118" s="20"/>
    </row>
    <row r="119" spans="8:18" ht="15.75" customHeight="1">
      <c r="H119" s="20"/>
      <c r="I119" s="20"/>
      <c r="R119" s="20"/>
    </row>
    <row r="120" spans="8:18" ht="15.75" customHeight="1">
      <c r="H120" s="20"/>
      <c r="I120" s="20"/>
      <c r="R120" s="20"/>
    </row>
    <row r="121" spans="8:18" ht="15.75" customHeight="1">
      <c r="H121" s="20"/>
      <c r="I121" s="20"/>
      <c r="R121" s="20"/>
    </row>
    <row r="122" spans="8:18" ht="15.75" customHeight="1">
      <c r="H122" s="20"/>
      <c r="I122" s="20"/>
      <c r="R122" s="20"/>
    </row>
    <row r="123" spans="8:18" ht="15.75" customHeight="1">
      <c r="H123" s="20"/>
      <c r="I123" s="20"/>
      <c r="R123" s="20"/>
    </row>
    <row r="124" spans="8:18" ht="15.75" customHeight="1">
      <c r="H124" s="20"/>
      <c r="I124" s="20"/>
      <c r="R124" s="20"/>
    </row>
    <row r="125" spans="8:18" ht="15.75" customHeight="1">
      <c r="H125" s="20"/>
      <c r="I125" s="20"/>
      <c r="R125" s="20"/>
    </row>
    <row r="126" spans="8:18" ht="15.75" customHeight="1">
      <c r="H126" s="20"/>
      <c r="I126" s="20"/>
      <c r="R126" s="20"/>
    </row>
    <row r="127" spans="8:18" ht="15.75" customHeight="1">
      <c r="H127" s="20"/>
      <c r="I127" s="20"/>
      <c r="R127" s="20"/>
    </row>
    <row r="128" spans="8:18" ht="15.75" customHeight="1">
      <c r="H128" s="20"/>
      <c r="I128" s="20"/>
      <c r="R128" s="20"/>
    </row>
    <row r="129" spans="8:18" ht="15.75" customHeight="1">
      <c r="H129" s="20"/>
      <c r="I129" s="20"/>
      <c r="R129" s="20"/>
    </row>
    <row r="130" spans="8:18" ht="15.75" customHeight="1">
      <c r="H130" s="20"/>
      <c r="I130" s="20"/>
      <c r="R130" s="20"/>
    </row>
    <row r="131" spans="8:18" ht="15.75" customHeight="1">
      <c r="H131" s="20"/>
      <c r="I131" s="20"/>
      <c r="R131" s="20"/>
    </row>
    <row r="132" spans="8:18" ht="15.75" customHeight="1">
      <c r="H132" s="20"/>
      <c r="I132" s="20"/>
      <c r="R132" s="20"/>
    </row>
    <row r="133" spans="8:18" ht="15.75" customHeight="1">
      <c r="H133" s="20"/>
      <c r="I133" s="20"/>
      <c r="R133" s="20"/>
    </row>
    <row r="134" spans="8:18" ht="15.75" customHeight="1">
      <c r="H134" s="20"/>
      <c r="I134" s="20"/>
      <c r="R134" s="20"/>
    </row>
    <row r="135" spans="8:18" ht="15.75" customHeight="1">
      <c r="H135" s="20"/>
      <c r="I135" s="20"/>
      <c r="R135" s="20"/>
    </row>
    <row r="136" spans="8:18" ht="15.75" customHeight="1">
      <c r="H136" s="20"/>
      <c r="I136" s="20"/>
      <c r="R136" s="20"/>
    </row>
    <row r="137" spans="8:18" ht="15.75" customHeight="1">
      <c r="H137" s="20"/>
      <c r="I137" s="20"/>
      <c r="R137" s="20"/>
    </row>
    <row r="138" spans="8:18" ht="15.75" customHeight="1">
      <c r="H138" s="20"/>
      <c r="I138" s="20"/>
      <c r="R138" s="20"/>
    </row>
    <row r="139" spans="8:18" ht="15.75" customHeight="1">
      <c r="H139" s="20"/>
      <c r="I139" s="20"/>
      <c r="R139" s="20"/>
    </row>
    <row r="140" spans="8:18" ht="15.75" customHeight="1">
      <c r="H140" s="20"/>
      <c r="I140" s="20"/>
      <c r="R140" s="20"/>
    </row>
    <row r="141" spans="8:18" ht="15.75" customHeight="1">
      <c r="H141" s="20"/>
      <c r="I141" s="20"/>
      <c r="R141" s="20"/>
    </row>
    <row r="142" spans="8:18" ht="15.75" customHeight="1">
      <c r="H142" s="20"/>
      <c r="I142" s="20"/>
      <c r="R142" s="20"/>
    </row>
    <row r="143" spans="8:18" ht="15.75" customHeight="1">
      <c r="H143" s="20"/>
      <c r="I143" s="20"/>
      <c r="R143" s="20"/>
    </row>
    <row r="144" spans="8:18" ht="15.75" customHeight="1">
      <c r="H144" s="20"/>
      <c r="I144" s="20"/>
      <c r="R144" s="20"/>
    </row>
    <row r="145" spans="8:18" ht="15.75" customHeight="1">
      <c r="H145" s="20"/>
      <c r="I145" s="20"/>
      <c r="R145" s="20"/>
    </row>
    <row r="146" spans="8:18" ht="15.75" customHeight="1">
      <c r="H146" s="20"/>
      <c r="I146" s="20"/>
      <c r="R146" s="20"/>
    </row>
    <row r="147" spans="8:18" ht="15.75" customHeight="1">
      <c r="H147" s="20"/>
      <c r="I147" s="20"/>
      <c r="R147" s="20"/>
    </row>
    <row r="148" spans="8:18" ht="15.75" customHeight="1">
      <c r="H148" s="20"/>
      <c r="I148" s="20"/>
      <c r="R148" s="20"/>
    </row>
    <row r="149" spans="8:18" ht="15.75" customHeight="1">
      <c r="H149" s="20"/>
      <c r="I149" s="20"/>
      <c r="R149" s="20"/>
    </row>
    <row r="150" spans="8:18" ht="15.75" customHeight="1">
      <c r="H150" s="20"/>
      <c r="I150" s="20"/>
      <c r="R150" s="20"/>
    </row>
    <row r="151" spans="8:18" ht="15.75" customHeight="1">
      <c r="H151" s="20"/>
      <c r="I151" s="20"/>
      <c r="R151" s="20"/>
    </row>
    <row r="152" spans="8:18" ht="15.75" customHeight="1">
      <c r="H152" s="20"/>
      <c r="I152" s="20"/>
      <c r="R152" s="20"/>
    </row>
    <row r="153" spans="8:18" ht="15.75" customHeight="1">
      <c r="H153" s="20"/>
      <c r="I153" s="20"/>
      <c r="R153" s="20"/>
    </row>
    <row r="154" spans="8:18" ht="15.75" customHeight="1">
      <c r="H154" s="20"/>
      <c r="I154" s="20"/>
      <c r="R154" s="20"/>
    </row>
    <row r="155" spans="8:18" ht="15.75" customHeight="1">
      <c r="H155" s="20"/>
      <c r="I155" s="20"/>
      <c r="R155" s="20"/>
    </row>
    <row r="156" spans="8:18" ht="15.75" customHeight="1">
      <c r="H156" s="20"/>
      <c r="I156" s="20"/>
      <c r="R156" s="20"/>
    </row>
    <row r="157" spans="8:18" ht="15.75" customHeight="1">
      <c r="H157" s="20"/>
      <c r="I157" s="20"/>
      <c r="R157" s="20"/>
    </row>
    <row r="158" spans="8:18" ht="15.75" customHeight="1">
      <c r="H158" s="20"/>
      <c r="I158" s="20"/>
      <c r="R158" s="20"/>
    </row>
    <row r="159" spans="8:18" ht="15.75" customHeight="1">
      <c r="H159" s="20"/>
      <c r="I159" s="20"/>
      <c r="R159" s="20"/>
    </row>
    <row r="160" spans="8:18" ht="15.75" customHeight="1">
      <c r="H160" s="20"/>
      <c r="I160" s="20"/>
      <c r="R160" s="20"/>
    </row>
    <row r="161" spans="8:18" ht="15.75" customHeight="1">
      <c r="H161" s="20"/>
      <c r="I161" s="20"/>
      <c r="R161" s="20"/>
    </row>
    <row r="162" spans="8:18" ht="15.75" customHeight="1">
      <c r="H162" s="20"/>
      <c r="I162" s="20"/>
      <c r="R162" s="20"/>
    </row>
    <row r="163" spans="8:18" ht="15.75" customHeight="1">
      <c r="H163" s="20"/>
      <c r="I163" s="20"/>
      <c r="R163" s="20"/>
    </row>
    <row r="164" spans="8:18" ht="15.75" customHeight="1">
      <c r="H164" s="20"/>
      <c r="I164" s="20"/>
      <c r="R164" s="20"/>
    </row>
    <row r="165" spans="8:18" ht="15.75" customHeight="1">
      <c r="H165" s="20"/>
      <c r="I165" s="20"/>
      <c r="R165" s="20"/>
    </row>
    <row r="166" spans="8:18" ht="15.75" customHeight="1">
      <c r="H166" s="20"/>
      <c r="I166" s="20"/>
      <c r="R166" s="20"/>
    </row>
    <row r="167" spans="8:18" ht="15.75" customHeight="1">
      <c r="H167" s="20"/>
      <c r="I167" s="20"/>
      <c r="R167" s="20"/>
    </row>
    <row r="168" spans="8:18" ht="15.75" customHeight="1">
      <c r="H168" s="20"/>
      <c r="I168" s="20"/>
      <c r="R168" s="20"/>
    </row>
    <row r="169" spans="8:18" ht="15.75" customHeight="1">
      <c r="H169" s="20"/>
      <c r="I169" s="20"/>
      <c r="R169" s="20"/>
    </row>
    <row r="170" spans="8:18" ht="15.75" customHeight="1">
      <c r="H170" s="20"/>
      <c r="I170" s="20"/>
      <c r="R170" s="20"/>
    </row>
    <row r="171" spans="8:18" ht="15.75" customHeight="1">
      <c r="H171" s="20"/>
      <c r="I171" s="20"/>
      <c r="R171" s="20"/>
    </row>
    <row r="172" spans="8:18" ht="15.75" customHeight="1">
      <c r="H172" s="20"/>
      <c r="I172" s="20"/>
      <c r="R172" s="20"/>
    </row>
    <row r="173" spans="8:18" ht="15.75" customHeight="1">
      <c r="H173" s="20"/>
      <c r="I173" s="20"/>
      <c r="R173" s="20"/>
    </row>
    <row r="174" spans="8:18" ht="15.75" customHeight="1">
      <c r="H174" s="20"/>
      <c r="I174" s="20"/>
      <c r="R174" s="20"/>
    </row>
    <row r="175" spans="8:18" ht="15.75" customHeight="1">
      <c r="H175" s="20"/>
      <c r="I175" s="20"/>
      <c r="R175" s="20"/>
    </row>
    <row r="176" spans="8:18" ht="15.75" customHeight="1">
      <c r="H176" s="20"/>
      <c r="I176" s="20"/>
      <c r="R176" s="20"/>
    </row>
    <row r="177" spans="8:18" ht="15.75" customHeight="1">
      <c r="H177" s="20"/>
      <c r="I177" s="20"/>
      <c r="R177" s="20"/>
    </row>
    <row r="178" spans="8:18" ht="15.75" customHeight="1">
      <c r="H178" s="20"/>
      <c r="I178" s="20"/>
      <c r="R178" s="20"/>
    </row>
    <row r="179" spans="8:18" ht="15.75" customHeight="1">
      <c r="H179" s="20"/>
      <c r="I179" s="20"/>
      <c r="R179" s="20"/>
    </row>
    <row r="180" spans="8:18" ht="15.75" customHeight="1">
      <c r="H180" s="20"/>
      <c r="I180" s="20"/>
      <c r="R180" s="20"/>
    </row>
    <row r="181" spans="8:18" ht="15.75" customHeight="1">
      <c r="H181" s="20"/>
      <c r="I181" s="20"/>
      <c r="R181" s="20"/>
    </row>
    <row r="182" spans="8:18" ht="15.75" customHeight="1">
      <c r="H182" s="20"/>
      <c r="I182" s="20"/>
      <c r="R182" s="20"/>
    </row>
    <row r="183" spans="8:18" ht="15.75" customHeight="1">
      <c r="H183" s="20"/>
      <c r="I183" s="20"/>
      <c r="R183" s="20"/>
    </row>
    <row r="184" spans="8:18" ht="15.75" customHeight="1">
      <c r="H184" s="20"/>
      <c r="I184" s="20"/>
      <c r="R184" s="20"/>
    </row>
    <row r="185" spans="8:18" ht="15.75" customHeight="1">
      <c r="H185" s="20"/>
      <c r="I185" s="20"/>
      <c r="R185" s="20"/>
    </row>
    <row r="186" spans="8:18" ht="15.75" customHeight="1">
      <c r="H186" s="20"/>
      <c r="I186" s="20"/>
      <c r="R186" s="20"/>
    </row>
    <row r="187" spans="8:18" ht="15.75" customHeight="1">
      <c r="H187" s="20"/>
      <c r="I187" s="20"/>
      <c r="R187" s="20"/>
    </row>
    <row r="188" spans="8:18" ht="15.75" customHeight="1">
      <c r="H188" s="20"/>
      <c r="I188" s="20"/>
      <c r="R188" s="20"/>
    </row>
    <row r="189" spans="8:18" ht="15.75" customHeight="1">
      <c r="H189" s="20"/>
      <c r="I189" s="20"/>
      <c r="R189" s="20"/>
    </row>
    <row r="190" spans="8:18" ht="15.75" customHeight="1">
      <c r="H190" s="20"/>
      <c r="I190" s="20"/>
      <c r="R190" s="20"/>
    </row>
    <row r="191" spans="8:18" ht="15.75" customHeight="1">
      <c r="H191" s="20"/>
      <c r="I191" s="20"/>
      <c r="R191" s="20"/>
    </row>
    <row r="192" spans="8:18" ht="15.75" customHeight="1">
      <c r="H192" s="20"/>
      <c r="I192" s="20"/>
      <c r="R192" s="20"/>
    </row>
    <row r="193" spans="8:18" ht="15.75" customHeight="1">
      <c r="H193" s="20"/>
      <c r="I193" s="20"/>
      <c r="R193" s="20"/>
    </row>
    <row r="194" spans="8:18" ht="15.75" customHeight="1">
      <c r="H194" s="20"/>
      <c r="I194" s="20"/>
      <c r="R194" s="20"/>
    </row>
    <row r="195" spans="8:18" ht="15.75" customHeight="1">
      <c r="H195" s="20"/>
      <c r="I195" s="20"/>
      <c r="R195" s="20"/>
    </row>
    <row r="196" spans="8:18" ht="15.75" customHeight="1">
      <c r="H196" s="20"/>
      <c r="I196" s="20"/>
      <c r="R196" s="20"/>
    </row>
    <row r="197" spans="8:18" ht="15.75" customHeight="1">
      <c r="H197" s="20"/>
      <c r="I197" s="20"/>
      <c r="R197" s="20"/>
    </row>
    <row r="198" spans="8:18" ht="15.75" customHeight="1">
      <c r="H198" s="20"/>
      <c r="I198" s="20"/>
      <c r="R198" s="20"/>
    </row>
    <row r="199" spans="8:18" ht="15.75" customHeight="1">
      <c r="H199" s="20"/>
      <c r="I199" s="20"/>
      <c r="R199" s="20"/>
    </row>
    <row r="200" spans="8:18" ht="15.75" customHeight="1">
      <c r="H200" s="20"/>
      <c r="I200" s="20"/>
      <c r="R200" s="20"/>
    </row>
    <row r="201" spans="8:18" ht="15.75" customHeight="1">
      <c r="H201" s="20"/>
      <c r="I201" s="20"/>
      <c r="R201" s="20"/>
    </row>
    <row r="202" spans="8:18" ht="15.75" customHeight="1">
      <c r="H202" s="20"/>
      <c r="I202" s="20"/>
      <c r="R202" s="20"/>
    </row>
    <row r="203" spans="8:18" ht="15.75" customHeight="1">
      <c r="H203" s="20"/>
      <c r="I203" s="20"/>
      <c r="R203" s="20"/>
    </row>
    <row r="204" spans="8:18" ht="15.75" customHeight="1">
      <c r="H204" s="20"/>
      <c r="I204" s="20"/>
      <c r="R204" s="20"/>
    </row>
    <row r="205" spans="8:18" ht="15.75" customHeight="1">
      <c r="H205" s="20"/>
      <c r="I205" s="20"/>
      <c r="R205" s="20"/>
    </row>
    <row r="206" spans="8:18" ht="15.75" customHeight="1">
      <c r="H206" s="20"/>
      <c r="I206" s="20"/>
      <c r="R206" s="20"/>
    </row>
    <row r="207" spans="8:18" ht="15.75" customHeight="1">
      <c r="H207" s="20"/>
      <c r="I207" s="20"/>
      <c r="R207" s="20"/>
    </row>
    <row r="208" spans="8:18" ht="15.75" customHeight="1">
      <c r="H208" s="20"/>
      <c r="I208" s="20"/>
      <c r="R208" s="20"/>
    </row>
    <row r="209" spans="8:18" ht="15.75" customHeight="1">
      <c r="H209" s="20"/>
      <c r="I209" s="20"/>
      <c r="R209" s="20"/>
    </row>
    <row r="210" spans="8:18" ht="15.75" customHeight="1">
      <c r="H210" s="20"/>
      <c r="I210" s="20"/>
      <c r="R210" s="20"/>
    </row>
    <row r="211" spans="8:18" ht="15.75" customHeight="1">
      <c r="H211" s="20"/>
      <c r="I211" s="20"/>
      <c r="R211" s="20"/>
    </row>
    <row r="212" spans="8:18" ht="15.75" customHeight="1">
      <c r="H212" s="20"/>
      <c r="I212" s="20"/>
      <c r="R212" s="20"/>
    </row>
    <row r="213" spans="8:18" ht="15.75" customHeight="1">
      <c r="H213" s="20"/>
      <c r="I213" s="20"/>
      <c r="R213" s="20"/>
    </row>
    <row r="214" spans="8:18" ht="15.75" customHeight="1">
      <c r="H214" s="20"/>
      <c r="I214" s="20"/>
      <c r="R214" s="20"/>
    </row>
    <row r="215" spans="8:18" ht="15.75" customHeight="1">
      <c r="H215" s="20"/>
      <c r="I215" s="20"/>
      <c r="R215" s="20"/>
    </row>
    <row r="216" spans="8:18" ht="15.75" customHeight="1">
      <c r="H216" s="20"/>
      <c r="I216" s="20"/>
      <c r="R216" s="20"/>
    </row>
    <row r="217" spans="8:18" ht="15.75" customHeight="1">
      <c r="H217" s="20"/>
      <c r="I217" s="20"/>
      <c r="R217" s="20"/>
    </row>
    <row r="218" spans="8:18" ht="15.75" customHeight="1">
      <c r="H218" s="20"/>
      <c r="I218" s="20"/>
      <c r="R218" s="20"/>
    </row>
    <row r="219" spans="8:18" ht="15.75" customHeight="1">
      <c r="H219" s="20"/>
      <c r="I219" s="20"/>
      <c r="R219" s="20"/>
    </row>
    <row r="220" spans="8:18" ht="15.75" customHeight="1">
      <c r="H220" s="20"/>
      <c r="I220" s="20"/>
      <c r="R220" s="20"/>
    </row>
    <row r="221" spans="8:18" ht="15.75" customHeight="1">
      <c r="H221" s="20"/>
      <c r="I221" s="20"/>
      <c r="R221" s="20"/>
    </row>
    <row r="222" spans="8:18" ht="15.75" customHeight="1">
      <c r="H222" s="20"/>
      <c r="I222" s="20"/>
      <c r="R222" s="20"/>
    </row>
    <row r="223" spans="8:18" ht="15.75" customHeight="1">
      <c r="H223" s="20"/>
      <c r="I223" s="20"/>
      <c r="R223" s="20"/>
    </row>
    <row r="224" spans="8:18" ht="15.75" customHeight="1">
      <c r="H224" s="20"/>
      <c r="I224" s="20"/>
      <c r="R224" s="20"/>
    </row>
    <row r="225" spans="8:18" ht="15.75" customHeight="1">
      <c r="H225" s="20"/>
      <c r="I225" s="20"/>
      <c r="R225" s="20"/>
    </row>
    <row r="226" spans="8:18" ht="15.75" customHeight="1">
      <c r="H226" s="20"/>
      <c r="I226" s="20"/>
      <c r="R226" s="20"/>
    </row>
    <row r="227" spans="8:18" ht="15.75" customHeight="1">
      <c r="H227" s="20"/>
      <c r="I227" s="20"/>
      <c r="R227" s="20"/>
    </row>
    <row r="228" spans="8:18" ht="15.75" customHeight="1">
      <c r="H228" s="20"/>
      <c r="I228" s="20"/>
      <c r="R228" s="20"/>
    </row>
    <row r="229" spans="8:18" ht="15.75" customHeight="1">
      <c r="H229" s="20"/>
      <c r="I229" s="20"/>
      <c r="R229" s="20"/>
    </row>
    <row r="230" spans="8:18" ht="15.75" customHeight="1">
      <c r="H230" s="20"/>
      <c r="I230" s="20"/>
      <c r="R230" s="20"/>
    </row>
    <row r="231" spans="8:18" ht="15.75" customHeight="1">
      <c r="H231" s="20"/>
      <c r="I231" s="20"/>
      <c r="R231" s="20"/>
    </row>
    <row r="232" spans="8:18" ht="15.75" customHeight="1">
      <c r="H232" s="20"/>
      <c r="I232" s="20"/>
      <c r="R232" s="20"/>
    </row>
    <row r="233" spans="8:18" ht="15.75" customHeight="1">
      <c r="H233" s="20"/>
      <c r="I233" s="20"/>
      <c r="R233" s="20"/>
    </row>
    <row r="234" spans="8:18" ht="15.75" customHeight="1">
      <c r="H234" s="20"/>
      <c r="I234" s="20"/>
      <c r="R234" s="20"/>
    </row>
    <row r="235" spans="8:18" ht="15.75" customHeight="1">
      <c r="H235" s="20"/>
      <c r="I235" s="20"/>
      <c r="R235" s="20"/>
    </row>
    <row r="236" spans="8:18" ht="15.75" customHeight="1">
      <c r="H236" s="20"/>
      <c r="I236" s="20"/>
      <c r="R236" s="20"/>
    </row>
    <row r="237" spans="8:18" ht="15.75" customHeight="1">
      <c r="H237" s="20"/>
      <c r="I237" s="20"/>
      <c r="R237" s="20"/>
    </row>
    <row r="238" spans="8:18" ht="15.75" customHeight="1">
      <c r="H238" s="20"/>
      <c r="I238" s="20"/>
      <c r="R238" s="20"/>
    </row>
    <row r="239" spans="8:18" ht="15.75" customHeight="1">
      <c r="H239" s="20"/>
      <c r="I239" s="20"/>
      <c r="R239" s="20"/>
    </row>
    <row r="240" spans="8:18" ht="15.75" customHeight="1">
      <c r="H240" s="20"/>
      <c r="I240" s="20"/>
      <c r="R240" s="20"/>
    </row>
    <row r="241" spans="8:18" ht="15.75" customHeight="1">
      <c r="H241" s="20"/>
      <c r="I241" s="20"/>
      <c r="R241" s="20"/>
    </row>
    <row r="242" spans="8:18" ht="15.75" customHeight="1">
      <c r="H242" s="20"/>
      <c r="I242" s="20"/>
      <c r="R242" s="20"/>
    </row>
    <row r="243" spans="8:18" ht="15.75" customHeight="1">
      <c r="H243" s="20"/>
      <c r="I243" s="20"/>
      <c r="R243" s="20"/>
    </row>
    <row r="244" spans="8:18" ht="15.75" customHeight="1">
      <c r="H244" s="20"/>
      <c r="I244" s="20"/>
      <c r="R244" s="20"/>
    </row>
    <row r="245" spans="8:18" ht="15.75" customHeight="1">
      <c r="H245" s="20"/>
      <c r="I245" s="20"/>
      <c r="R245" s="20"/>
    </row>
    <row r="246" spans="8:18" ht="15.75" customHeight="1">
      <c r="H246" s="20"/>
      <c r="I246" s="20"/>
      <c r="R246" s="20"/>
    </row>
    <row r="247" spans="8:18" ht="15.75" customHeight="1">
      <c r="H247" s="20"/>
      <c r="I247" s="20"/>
      <c r="R247" s="20"/>
    </row>
    <row r="248" spans="8:18" ht="15.75" customHeight="1">
      <c r="H248" s="20"/>
      <c r="I248" s="20"/>
      <c r="R248" s="20"/>
    </row>
    <row r="249" spans="8:18" ht="15.75" customHeight="1">
      <c r="H249" s="20"/>
      <c r="I249" s="20"/>
      <c r="R249" s="20"/>
    </row>
    <row r="250" spans="8:18" ht="15.75" customHeight="1">
      <c r="H250" s="20"/>
      <c r="I250" s="20"/>
      <c r="R250" s="20"/>
    </row>
    <row r="251" spans="8:18" ht="15.75" customHeight="1">
      <c r="H251" s="20"/>
      <c r="I251" s="20"/>
      <c r="R251" s="20"/>
    </row>
    <row r="252" spans="8:18" ht="15.75" customHeight="1">
      <c r="H252" s="20"/>
      <c r="I252" s="20"/>
      <c r="R252" s="20"/>
    </row>
    <row r="253" spans="8:18" ht="15.75" customHeight="1">
      <c r="H253" s="20"/>
      <c r="I253" s="20"/>
      <c r="R253" s="20"/>
    </row>
    <row r="254" spans="8:18" ht="15.75" customHeight="1">
      <c r="H254" s="20"/>
      <c r="I254" s="20"/>
      <c r="R254" s="20"/>
    </row>
    <row r="255" spans="8:18" ht="15.75" customHeight="1">
      <c r="H255" s="20"/>
      <c r="I255" s="20"/>
      <c r="R255" s="20"/>
    </row>
    <row r="256" spans="8:18" ht="15.75" customHeight="1">
      <c r="H256" s="20"/>
      <c r="I256" s="20"/>
      <c r="R256" s="20"/>
    </row>
    <row r="257" spans="8:18" ht="15.75" customHeight="1">
      <c r="H257" s="20"/>
      <c r="I257" s="20"/>
      <c r="R257" s="20"/>
    </row>
    <row r="258" spans="8:18" ht="15.75" customHeight="1">
      <c r="H258" s="20"/>
      <c r="I258" s="20"/>
      <c r="R258" s="20"/>
    </row>
    <row r="259" spans="8:18" ht="15.75" customHeight="1">
      <c r="H259" s="20"/>
      <c r="I259" s="20"/>
      <c r="R259" s="20"/>
    </row>
    <row r="260" spans="8:18" ht="15.75" customHeight="1">
      <c r="H260" s="20"/>
      <c r="I260" s="20"/>
      <c r="R260" s="20"/>
    </row>
    <row r="261" spans="8:18" ht="15.75" customHeight="1">
      <c r="H261" s="20"/>
      <c r="I261" s="20"/>
      <c r="R261" s="20"/>
    </row>
    <row r="262" spans="8:18" ht="15.75" customHeight="1">
      <c r="H262" s="20"/>
      <c r="I262" s="20"/>
      <c r="R262" s="20"/>
    </row>
    <row r="263" spans="8:18" ht="15.75" customHeight="1">
      <c r="H263" s="20"/>
      <c r="I263" s="20"/>
      <c r="R263" s="20"/>
    </row>
    <row r="264" spans="8:18" ht="15.75" customHeight="1">
      <c r="H264" s="20"/>
      <c r="I264" s="20"/>
      <c r="R264" s="20"/>
    </row>
    <row r="265" spans="8:18" ht="15.75" customHeight="1">
      <c r="H265" s="20"/>
      <c r="I265" s="20"/>
      <c r="R265" s="20"/>
    </row>
    <row r="266" spans="8:18" ht="15.75" customHeight="1">
      <c r="H266" s="20"/>
      <c r="I266" s="20"/>
      <c r="R266" s="20"/>
    </row>
    <row r="267" spans="8:18" ht="15.75" customHeight="1">
      <c r="H267" s="20"/>
      <c r="I267" s="20"/>
      <c r="R267" s="20"/>
    </row>
    <row r="268" spans="8:18" ht="15.75" customHeight="1">
      <c r="H268" s="20"/>
      <c r="I268" s="20"/>
      <c r="R268" s="20"/>
    </row>
    <row r="269" spans="8:18" ht="15.75" customHeight="1">
      <c r="H269" s="20"/>
      <c r="I269" s="20"/>
      <c r="R269" s="20"/>
    </row>
    <row r="270" spans="8:18" ht="15.75" customHeight="1">
      <c r="H270" s="20"/>
      <c r="I270" s="20"/>
      <c r="R270" s="20"/>
    </row>
    <row r="271" spans="8:18" ht="15.75" customHeight="1">
      <c r="H271" s="20"/>
      <c r="I271" s="20"/>
      <c r="R271" s="20"/>
    </row>
    <row r="272" spans="8:18" ht="15.75" customHeight="1">
      <c r="H272" s="20"/>
      <c r="I272" s="20"/>
      <c r="R272" s="20"/>
    </row>
    <row r="273" spans="8:18" ht="15.75" customHeight="1">
      <c r="H273" s="20"/>
      <c r="I273" s="20"/>
      <c r="R273" s="20"/>
    </row>
    <row r="274" spans="8:18" ht="15.75" customHeight="1">
      <c r="H274" s="20"/>
      <c r="I274" s="20"/>
      <c r="R274" s="20"/>
    </row>
    <row r="275" spans="8:18" ht="15.75" customHeight="1">
      <c r="H275" s="20"/>
      <c r="I275" s="20"/>
      <c r="R275" s="20"/>
    </row>
    <row r="276" spans="8:18" ht="15.75" customHeight="1">
      <c r="H276" s="20"/>
      <c r="I276" s="20"/>
      <c r="R276" s="20"/>
    </row>
    <row r="277" spans="8:18" ht="15.75" customHeight="1">
      <c r="H277" s="20"/>
      <c r="I277" s="20"/>
      <c r="R277" s="20"/>
    </row>
    <row r="278" spans="8:18" ht="15.75" customHeight="1">
      <c r="H278" s="20"/>
      <c r="I278" s="20"/>
      <c r="R278" s="20"/>
    </row>
    <row r="279" spans="8:18" ht="15.75" customHeight="1">
      <c r="H279" s="20"/>
      <c r="I279" s="20"/>
      <c r="R279" s="20"/>
    </row>
    <row r="280" spans="8:18" ht="15.75" customHeight="1">
      <c r="H280" s="20"/>
      <c r="I280" s="20"/>
      <c r="R280" s="20"/>
    </row>
    <row r="281" spans="8:18" ht="15.75" customHeight="1">
      <c r="H281" s="20"/>
      <c r="I281" s="20"/>
      <c r="R281" s="20"/>
    </row>
    <row r="282" spans="8:18" ht="15.75" customHeight="1">
      <c r="H282" s="20"/>
      <c r="I282" s="20"/>
      <c r="R282" s="20"/>
    </row>
    <row r="283" spans="8:18" ht="15.75" customHeight="1">
      <c r="H283" s="20"/>
      <c r="I283" s="20"/>
      <c r="R283" s="20"/>
    </row>
    <row r="284" spans="8:18" ht="15.75" customHeight="1">
      <c r="H284" s="20"/>
      <c r="I284" s="20"/>
      <c r="R284" s="20"/>
    </row>
    <row r="285" spans="8:18" ht="15.75" customHeight="1">
      <c r="H285" s="20"/>
      <c r="I285" s="20"/>
      <c r="R285" s="20"/>
    </row>
    <row r="286" spans="8:18" ht="15.75" customHeight="1">
      <c r="H286" s="20"/>
      <c r="I286" s="20"/>
      <c r="R286" s="20"/>
    </row>
    <row r="287" spans="8:18" ht="15.75" customHeight="1">
      <c r="H287" s="20"/>
      <c r="I287" s="20"/>
      <c r="R287" s="20"/>
    </row>
    <row r="288" spans="8:18" ht="15.75" customHeight="1">
      <c r="H288" s="20"/>
      <c r="I288" s="20"/>
      <c r="R288" s="20"/>
    </row>
    <row r="289" spans="8:18" ht="15.75" customHeight="1">
      <c r="H289" s="20"/>
      <c r="I289" s="20"/>
      <c r="R289" s="20"/>
    </row>
    <row r="290" spans="8:18" ht="15.75" customHeight="1">
      <c r="H290" s="20"/>
      <c r="I290" s="20"/>
      <c r="R290" s="20"/>
    </row>
    <row r="291" spans="8:18" ht="15.75" customHeight="1">
      <c r="H291" s="20"/>
      <c r="I291" s="20"/>
      <c r="R291" s="20"/>
    </row>
    <row r="292" spans="8:18" ht="15.75" customHeight="1">
      <c r="H292" s="20"/>
      <c r="I292" s="20"/>
      <c r="R292" s="20"/>
    </row>
    <row r="293" spans="8:18" ht="15.75" customHeight="1">
      <c r="H293" s="20"/>
      <c r="I293" s="20"/>
      <c r="R293" s="20"/>
    </row>
    <row r="294" spans="8:18" ht="15.75" customHeight="1">
      <c r="H294" s="20"/>
      <c r="I294" s="20"/>
      <c r="R294" s="20"/>
    </row>
    <row r="295" spans="8:18" ht="15.75" customHeight="1">
      <c r="H295" s="20"/>
      <c r="I295" s="20"/>
      <c r="R295" s="20"/>
    </row>
    <row r="296" spans="8:18" ht="15.75" customHeight="1">
      <c r="H296" s="20"/>
      <c r="I296" s="20"/>
      <c r="R296" s="20"/>
    </row>
    <row r="297" spans="8:18" ht="15.75" customHeight="1">
      <c r="H297" s="20"/>
      <c r="I297" s="20"/>
      <c r="R297" s="20"/>
    </row>
    <row r="298" spans="8:18" ht="15.75" customHeight="1">
      <c r="H298" s="20"/>
      <c r="I298" s="20"/>
      <c r="R298" s="20"/>
    </row>
    <row r="299" spans="8:18" ht="15.75" customHeight="1">
      <c r="H299" s="20"/>
      <c r="I299" s="20"/>
      <c r="R299" s="20"/>
    </row>
    <row r="300" spans="8:18" ht="15.75" customHeight="1">
      <c r="H300" s="20"/>
      <c r="I300" s="20"/>
      <c r="R300" s="20"/>
    </row>
    <row r="301" spans="8:18" ht="15.75" customHeight="1">
      <c r="H301" s="20"/>
      <c r="I301" s="20"/>
      <c r="R301" s="20"/>
    </row>
    <row r="302" spans="8:18" ht="15.75" customHeight="1">
      <c r="H302" s="20"/>
      <c r="I302" s="20"/>
      <c r="R302" s="20"/>
    </row>
    <row r="303" spans="8:18" ht="15.75" customHeight="1">
      <c r="H303" s="20"/>
      <c r="I303" s="20"/>
      <c r="R303" s="20"/>
    </row>
    <row r="304" spans="8:18" ht="15.75" customHeight="1">
      <c r="H304" s="20"/>
      <c r="I304" s="20"/>
      <c r="R304" s="20"/>
    </row>
    <row r="305" spans="8:18" ht="15.75" customHeight="1">
      <c r="H305" s="20"/>
      <c r="I305" s="20"/>
      <c r="R305" s="20"/>
    </row>
    <row r="306" spans="8:18" ht="15.75" customHeight="1">
      <c r="H306" s="20"/>
      <c r="I306" s="20"/>
      <c r="R306" s="20"/>
    </row>
    <row r="307" spans="8:18" ht="15.75" customHeight="1">
      <c r="H307" s="20"/>
      <c r="I307" s="20"/>
      <c r="R307" s="20"/>
    </row>
    <row r="308" spans="8:18" ht="15.75" customHeight="1">
      <c r="H308" s="20"/>
      <c r="I308" s="20"/>
      <c r="R308" s="20"/>
    </row>
    <row r="309" spans="8:18" ht="15.75" customHeight="1">
      <c r="H309" s="20"/>
      <c r="I309" s="20"/>
      <c r="R309" s="20"/>
    </row>
    <row r="310" spans="8:18" ht="15.75" customHeight="1">
      <c r="H310" s="20"/>
      <c r="I310" s="20"/>
      <c r="R310" s="20"/>
    </row>
    <row r="311" spans="8:18" ht="15.75" customHeight="1">
      <c r="H311" s="20"/>
      <c r="I311" s="20"/>
      <c r="R311" s="20"/>
    </row>
    <row r="312" spans="8:18" ht="15.75" customHeight="1">
      <c r="H312" s="20"/>
      <c r="I312" s="20"/>
      <c r="R312" s="20"/>
    </row>
    <row r="313" spans="8:18" ht="15.75" customHeight="1">
      <c r="H313" s="20"/>
      <c r="I313" s="20"/>
      <c r="R313" s="20"/>
    </row>
    <row r="314" spans="8:18" ht="15.75" customHeight="1">
      <c r="H314" s="20"/>
      <c r="I314" s="20"/>
      <c r="R314" s="20"/>
    </row>
    <row r="315" spans="8:18" ht="15.75" customHeight="1">
      <c r="H315" s="20"/>
      <c r="I315" s="20"/>
      <c r="R315" s="20"/>
    </row>
    <row r="316" spans="8:18" ht="15.75" customHeight="1">
      <c r="H316" s="20"/>
      <c r="I316" s="20"/>
      <c r="R316" s="20"/>
    </row>
    <row r="317" spans="8:18" ht="15.75" customHeight="1">
      <c r="H317" s="20"/>
      <c r="I317" s="20"/>
      <c r="R317" s="20"/>
    </row>
    <row r="318" spans="8:18" ht="15.75" customHeight="1">
      <c r="H318" s="20"/>
      <c r="I318" s="20"/>
      <c r="R318" s="20"/>
    </row>
    <row r="319" spans="8:18" ht="15.75" customHeight="1">
      <c r="H319" s="20"/>
      <c r="I319" s="20"/>
      <c r="R319" s="20"/>
    </row>
    <row r="320" spans="8:18" ht="15.75" customHeight="1">
      <c r="H320" s="20"/>
      <c r="I320" s="20"/>
      <c r="R320" s="20"/>
    </row>
    <row r="321" spans="8:18" ht="15.75" customHeight="1">
      <c r="H321" s="20"/>
      <c r="I321" s="20"/>
      <c r="R321" s="20"/>
    </row>
    <row r="322" spans="8:18" ht="15.75" customHeight="1">
      <c r="H322" s="20"/>
      <c r="I322" s="20"/>
      <c r="R322" s="20"/>
    </row>
    <row r="323" spans="8:18" ht="15.75" customHeight="1">
      <c r="H323" s="20"/>
      <c r="I323" s="20"/>
      <c r="R323" s="20"/>
    </row>
    <row r="324" spans="8:18" ht="15.75" customHeight="1">
      <c r="H324" s="20"/>
      <c r="I324" s="20"/>
      <c r="R324" s="20"/>
    </row>
    <row r="325" spans="8:18" ht="15.75" customHeight="1">
      <c r="H325" s="20"/>
      <c r="I325" s="20"/>
      <c r="R325" s="20"/>
    </row>
    <row r="326" spans="8:18" ht="15.75" customHeight="1">
      <c r="H326" s="20"/>
      <c r="I326" s="20"/>
      <c r="R326" s="20"/>
    </row>
    <row r="327" spans="8:18" ht="15.75" customHeight="1">
      <c r="H327" s="20"/>
      <c r="I327" s="20"/>
      <c r="R327" s="20"/>
    </row>
    <row r="328" spans="8:18" ht="15.75" customHeight="1">
      <c r="H328" s="20"/>
      <c r="I328" s="20"/>
      <c r="R328" s="20"/>
    </row>
    <row r="329" spans="8:18" ht="15.75" customHeight="1">
      <c r="H329" s="20"/>
      <c r="I329" s="20"/>
      <c r="R329" s="20"/>
    </row>
    <row r="330" spans="8:18" ht="15.75" customHeight="1">
      <c r="H330" s="20"/>
      <c r="I330" s="20"/>
      <c r="R330" s="20"/>
    </row>
    <row r="331" spans="8:18" ht="15.75" customHeight="1">
      <c r="H331" s="20"/>
      <c r="I331" s="20"/>
      <c r="R331" s="20"/>
    </row>
    <row r="332" spans="8:18" ht="15.75" customHeight="1">
      <c r="H332" s="20"/>
      <c r="I332" s="20"/>
      <c r="R332" s="20"/>
    </row>
    <row r="333" spans="8:18" ht="15.75" customHeight="1">
      <c r="H333" s="20"/>
      <c r="I333" s="20"/>
      <c r="R333" s="20"/>
    </row>
    <row r="334" spans="8:18" ht="15.75" customHeight="1">
      <c r="H334" s="20"/>
      <c r="I334" s="20"/>
      <c r="R334" s="20"/>
    </row>
    <row r="335" spans="8:18" ht="15.75" customHeight="1">
      <c r="H335" s="20"/>
      <c r="I335" s="20"/>
      <c r="R335" s="20"/>
    </row>
    <row r="336" spans="8:18" ht="15.75" customHeight="1">
      <c r="H336" s="20"/>
      <c r="I336" s="20"/>
      <c r="R336" s="20"/>
    </row>
    <row r="337" spans="8:18" ht="15.75" customHeight="1">
      <c r="H337" s="20"/>
      <c r="I337" s="20"/>
      <c r="R337" s="20"/>
    </row>
    <row r="338" spans="8:18" ht="15.75" customHeight="1">
      <c r="H338" s="20"/>
      <c r="I338" s="20"/>
      <c r="R338" s="20"/>
    </row>
    <row r="339" spans="8:18" ht="15.75" customHeight="1">
      <c r="H339" s="20"/>
      <c r="I339" s="20"/>
      <c r="R339" s="20"/>
    </row>
    <row r="340" spans="8:18" ht="15.75" customHeight="1">
      <c r="H340" s="20"/>
      <c r="I340" s="20"/>
      <c r="R340" s="20"/>
    </row>
    <row r="341" spans="8:18" ht="15.75" customHeight="1">
      <c r="H341" s="20"/>
      <c r="I341" s="20"/>
      <c r="R341" s="20"/>
    </row>
    <row r="342" spans="8:18" ht="15.75" customHeight="1">
      <c r="H342" s="20"/>
      <c r="I342" s="20"/>
      <c r="R342" s="20"/>
    </row>
    <row r="343" spans="8:18" ht="15.75" customHeight="1">
      <c r="H343" s="20"/>
      <c r="I343" s="20"/>
      <c r="R343" s="20"/>
    </row>
    <row r="344" spans="8:18" ht="15.75" customHeight="1">
      <c r="H344" s="20"/>
      <c r="I344" s="20"/>
      <c r="R344" s="20"/>
    </row>
    <row r="345" spans="8:18" ht="15.75" customHeight="1">
      <c r="H345" s="20"/>
      <c r="I345" s="20"/>
      <c r="R345" s="20"/>
    </row>
    <row r="346" spans="8:18" ht="15.75" customHeight="1">
      <c r="H346" s="20"/>
      <c r="I346" s="20"/>
      <c r="R346" s="20"/>
    </row>
    <row r="347" spans="8:18" ht="15.75" customHeight="1">
      <c r="H347" s="20"/>
      <c r="I347" s="20"/>
      <c r="R347" s="20"/>
    </row>
    <row r="348" spans="8:18" ht="15.75" customHeight="1">
      <c r="H348" s="20"/>
      <c r="I348" s="20"/>
      <c r="R348" s="20"/>
    </row>
    <row r="349" spans="8:18" ht="15.75" customHeight="1">
      <c r="H349" s="20"/>
      <c r="I349" s="20"/>
      <c r="R349" s="20"/>
    </row>
    <row r="350" spans="8:18" ht="15.75" customHeight="1">
      <c r="H350" s="20"/>
      <c r="I350" s="20"/>
      <c r="R350" s="20"/>
    </row>
    <row r="351" spans="8:18" ht="15.75" customHeight="1">
      <c r="H351" s="20"/>
      <c r="I351" s="20"/>
      <c r="R351" s="20"/>
    </row>
    <row r="352" spans="8:18" ht="15.75" customHeight="1">
      <c r="H352" s="20"/>
      <c r="I352" s="20"/>
      <c r="R352" s="20"/>
    </row>
    <row r="353" spans="8:18" ht="15.75" customHeight="1">
      <c r="H353" s="20"/>
      <c r="I353" s="20"/>
      <c r="R353" s="20"/>
    </row>
    <row r="354" spans="8:18" ht="15.75" customHeight="1">
      <c r="H354" s="20"/>
      <c r="I354" s="20"/>
      <c r="R354" s="20"/>
    </row>
    <row r="355" spans="8:18" ht="15.75" customHeight="1">
      <c r="H355" s="20"/>
      <c r="I355" s="20"/>
      <c r="R355" s="20"/>
    </row>
    <row r="356" spans="8:18" ht="15.75" customHeight="1">
      <c r="H356" s="20"/>
      <c r="I356" s="20"/>
      <c r="R356" s="20"/>
    </row>
    <row r="357" spans="8:18" ht="15.75" customHeight="1">
      <c r="H357" s="20"/>
      <c r="I357" s="20"/>
      <c r="R357" s="20"/>
    </row>
    <row r="358" spans="8:18" ht="15.75" customHeight="1">
      <c r="H358" s="20"/>
      <c r="I358" s="20"/>
      <c r="R358" s="20"/>
    </row>
    <row r="359" spans="8:18" ht="15.75" customHeight="1">
      <c r="H359" s="20"/>
      <c r="I359" s="20"/>
      <c r="R359" s="20"/>
    </row>
    <row r="360" spans="8:18" ht="15.75" customHeight="1">
      <c r="H360" s="20"/>
      <c r="I360" s="20"/>
      <c r="R360" s="20"/>
    </row>
    <row r="361" spans="8:18" ht="15.75" customHeight="1">
      <c r="H361" s="20"/>
      <c r="I361" s="20"/>
      <c r="R361" s="20"/>
    </row>
    <row r="362" spans="8:18" ht="15.75" customHeight="1">
      <c r="H362" s="20"/>
      <c r="I362" s="20"/>
      <c r="R362" s="20"/>
    </row>
    <row r="363" spans="8:18" ht="15.75" customHeight="1">
      <c r="H363" s="20"/>
      <c r="I363" s="20"/>
      <c r="R363" s="20"/>
    </row>
    <row r="364" spans="8:18" ht="15.75" customHeight="1">
      <c r="H364" s="20"/>
      <c r="I364" s="20"/>
      <c r="R364" s="20"/>
    </row>
    <row r="365" spans="8:18" ht="15.75" customHeight="1">
      <c r="H365" s="20"/>
      <c r="I365" s="20"/>
      <c r="R365" s="20"/>
    </row>
    <row r="366" spans="8:18" ht="15.75" customHeight="1">
      <c r="H366" s="20"/>
      <c r="I366" s="20"/>
      <c r="R366" s="20"/>
    </row>
    <row r="367" spans="8:18" ht="15.75" customHeight="1">
      <c r="H367" s="20"/>
      <c r="I367" s="20"/>
      <c r="R367" s="20"/>
    </row>
    <row r="368" spans="8:18" ht="15.75" customHeight="1">
      <c r="H368" s="20"/>
      <c r="I368" s="20"/>
      <c r="R368" s="20"/>
    </row>
    <row r="369" spans="8:18" ht="15.75" customHeight="1">
      <c r="H369" s="20"/>
      <c r="I369" s="20"/>
      <c r="R369" s="20"/>
    </row>
    <row r="370" spans="8:18" ht="15.75" customHeight="1">
      <c r="H370" s="20"/>
      <c r="I370" s="20"/>
      <c r="R370" s="20"/>
    </row>
    <row r="371" spans="8:18" ht="15.75" customHeight="1">
      <c r="H371" s="20"/>
      <c r="I371" s="20"/>
      <c r="R371" s="20"/>
    </row>
    <row r="372" spans="8:18" ht="15.75" customHeight="1">
      <c r="H372" s="20"/>
      <c r="I372" s="20"/>
      <c r="R372" s="20"/>
    </row>
    <row r="373" spans="8:18" ht="15.75" customHeight="1">
      <c r="H373" s="20"/>
      <c r="I373" s="20"/>
      <c r="R373" s="20"/>
    </row>
    <row r="374" spans="8:18" ht="15.75" customHeight="1">
      <c r="H374" s="20"/>
      <c r="I374" s="20"/>
      <c r="R374" s="20"/>
    </row>
    <row r="375" spans="8:18" ht="15.75" customHeight="1">
      <c r="H375" s="20"/>
      <c r="I375" s="20"/>
      <c r="R375" s="20"/>
    </row>
    <row r="376" spans="8:18" ht="15.75" customHeight="1">
      <c r="H376" s="20"/>
      <c r="I376" s="20"/>
      <c r="R376" s="20"/>
    </row>
    <row r="377" spans="8:18" ht="15.75" customHeight="1">
      <c r="H377" s="20"/>
      <c r="I377" s="20"/>
      <c r="R377" s="20"/>
    </row>
    <row r="378" spans="8:18" ht="15.75" customHeight="1">
      <c r="H378" s="20"/>
      <c r="I378" s="20"/>
      <c r="R378" s="20"/>
    </row>
    <row r="379" spans="8:18" ht="15.75" customHeight="1">
      <c r="H379" s="20"/>
      <c r="I379" s="20"/>
      <c r="R379" s="20"/>
    </row>
    <row r="380" spans="8:18" ht="15.75" customHeight="1">
      <c r="H380" s="20"/>
      <c r="I380" s="20"/>
      <c r="R380" s="20"/>
    </row>
    <row r="381" spans="8:18" ht="15.75" customHeight="1">
      <c r="H381" s="20"/>
      <c r="I381" s="20"/>
      <c r="R381" s="20"/>
    </row>
    <row r="382" spans="8:18" ht="15.75" customHeight="1">
      <c r="H382" s="20"/>
      <c r="I382" s="20"/>
      <c r="R382" s="20"/>
    </row>
    <row r="383" spans="8:18" ht="15.75" customHeight="1">
      <c r="H383" s="20"/>
      <c r="I383" s="20"/>
      <c r="R383" s="20"/>
    </row>
    <row r="384" spans="8:18" ht="15.75" customHeight="1">
      <c r="H384" s="20"/>
      <c r="I384" s="20"/>
      <c r="R384" s="20"/>
    </row>
    <row r="385" spans="8:18" ht="15.75" customHeight="1">
      <c r="H385" s="20"/>
      <c r="I385" s="20"/>
      <c r="R385" s="20"/>
    </row>
    <row r="386" spans="8:18" ht="15.75" customHeight="1">
      <c r="H386" s="20"/>
      <c r="I386" s="20"/>
      <c r="R386" s="20"/>
    </row>
    <row r="387" spans="8:18" ht="15.75" customHeight="1">
      <c r="H387" s="20"/>
      <c r="I387" s="20"/>
      <c r="R387" s="20"/>
    </row>
    <row r="388" spans="8:18" ht="15.75" customHeight="1">
      <c r="H388" s="20"/>
      <c r="I388" s="20"/>
      <c r="R388" s="20"/>
    </row>
    <row r="389" spans="8:18" ht="15.75" customHeight="1">
      <c r="H389" s="20"/>
      <c r="I389" s="20"/>
      <c r="R389" s="20"/>
    </row>
    <row r="390" spans="8:18" ht="15.75" customHeight="1">
      <c r="H390" s="20"/>
      <c r="I390" s="20"/>
      <c r="R390" s="20"/>
    </row>
    <row r="391" spans="8:18" ht="15.75" customHeight="1">
      <c r="H391" s="20"/>
      <c r="I391" s="20"/>
      <c r="R391" s="20"/>
    </row>
    <row r="392" spans="8:18" ht="15.75" customHeight="1">
      <c r="H392" s="20"/>
      <c r="I392" s="20"/>
      <c r="R392" s="20"/>
    </row>
    <row r="393" spans="8:18" ht="15.75" customHeight="1">
      <c r="H393" s="20"/>
      <c r="I393" s="20"/>
      <c r="R393" s="20"/>
    </row>
    <row r="394" spans="8:18" ht="15.75" customHeight="1">
      <c r="H394" s="20"/>
      <c r="I394" s="20"/>
      <c r="R394" s="20"/>
    </row>
    <row r="395" spans="8:18" ht="15.75" customHeight="1">
      <c r="H395" s="20"/>
      <c r="I395" s="20"/>
      <c r="R395" s="20"/>
    </row>
    <row r="396" spans="8:18" ht="15.75" customHeight="1">
      <c r="H396" s="20"/>
      <c r="I396" s="20"/>
      <c r="R396" s="20"/>
    </row>
    <row r="397" spans="8:18" ht="15.75" customHeight="1">
      <c r="H397" s="20"/>
      <c r="I397" s="20"/>
      <c r="R397" s="20"/>
    </row>
    <row r="398" spans="8:18" ht="15.75" customHeight="1">
      <c r="H398" s="20"/>
      <c r="I398" s="20"/>
      <c r="R398" s="20"/>
    </row>
    <row r="399" spans="8:18" ht="15.75" customHeight="1">
      <c r="H399" s="20"/>
      <c r="I399" s="20"/>
      <c r="R399" s="20"/>
    </row>
    <row r="400" spans="8:18" ht="15.75" customHeight="1">
      <c r="H400" s="20"/>
      <c r="I400" s="20"/>
      <c r="R400" s="20"/>
    </row>
    <row r="401" spans="8:18" ht="15.75" customHeight="1">
      <c r="H401" s="20"/>
      <c r="I401" s="20"/>
      <c r="R401" s="20"/>
    </row>
    <row r="402" spans="8:18" ht="15.75" customHeight="1">
      <c r="H402" s="20"/>
      <c r="I402" s="20"/>
      <c r="R402" s="20"/>
    </row>
    <row r="403" spans="8:18" ht="15.75" customHeight="1">
      <c r="H403" s="20"/>
      <c r="I403" s="20"/>
      <c r="R403" s="20"/>
    </row>
    <row r="404" spans="8:18" ht="15.75" customHeight="1">
      <c r="H404" s="20"/>
      <c r="I404" s="20"/>
      <c r="R404" s="20"/>
    </row>
    <row r="405" spans="8:18" ht="15.75" customHeight="1">
      <c r="H405" s="20"/>
      <c r="I405" s="20"/>
      <c r="R405" s="20"/>
    </row>
    <row r="406" spans="8:18" ht="15.75" customHeight="1">
      <c r="H406" s="20"/>
      <c r="I406" s="20"/>
      <c r="R406" s="20"/>
    </row>
    <row r="407" spans="8:18" ht="15.75" customHeight="1">
      <c r="H407" s="20"/>
      <c r="I407" s="20"/>
      <c r="R407" s="20"/>
    </row>
    <row r="408" spans="8:18" ht="15.75" customHeight="1">
      <c r="H408" s="20"/>
      <c r="I408" s="20"/>
      <c r="R408" s="20"/>
    </row>
    <row r="409" spans="8:18" ht="15.75" customHeight="1">
      <c r="H409" s="20"/>
      <c r="I409" s="20"/>
      <c r="R409" s="20"/>
    </row>
    <row r="410" spans="8:18" ht="15.75" customHeight="1">
      <c r="H410" s="20"/>
      <c r="I410" s="20"/>
      <c r="R410" s="20"/>
    </row>
    <row r="411" spans="8:18" ht="15.75" customHeight="1">
      <c r="H411" s="20"/>
      <c r="I411" s="20"/>
      <c r="R411" s="20"/>
    </row>
    <row r="412" spans="8:18" ht="15.75" customHeight="1">
      <c r="H412" s="20"/>
      <c r="I412" s="20"/>
      <c r="R412" s="20"/>
    </row>
    <row r="413" spans="8:18" ht="15.75" customHeight="1">
      <c r="H413" s="20"/>
      <c r="I413" s="20"/>
      <c r="R413" s="20"/>
    </row>
    <row r="414" spans="8:18" ht="15.75" customHeight="1">
      <c r="H414" s="20"/>
      <c r="I414" s="20"/>
      <c r="R414" s="20"/>
    </row>
    <row r="415" spans="8:18" ht="15.75" customHeight="1">
      <c r="H415" s="20"/>
      <c r="I415" s="20"/>
      <c r="R415" s="20"/>
    </row>
    <row r="416" spans="8:18" ht="15.75" customHeight="1">
      <c r="H416" s="20"/>
      <c r="I416" s="20"/>
      <c r="R416" s="20"/>
    </row>
    <row r="417" spans="8:18" ht="15.75" customHeight="1">
      <c r="H417" s="20"/>
      <c r="I417" s="20"/>
      <c r="R417" s="20"/>
    </row>
    <row r="418" spans="8:18" ht="15.75" customHeight="1">
      <c r="H418" s="20"/>
      <c r="I418" s="20"/>
      <c r="R418" s="20"/>
    </row>
    <row r="419" spans="8:18" ht="15.75" customHeight="1">
      <c r="H419" s="20"/>
      <c r="I419" s="20"/>
      <c r="R419" s="20"/>
    </row>
    <row r="420" spans="8:18" ht="15.75" customHeight="1">
      <c r="H420" s="20"/>
      <c r="I420" s="20"/>
      <c r="R420" s="20"/>
    </row>
    <row r="421" spans="8:18" ht="15.75" customHeight="1">
      <c r="H421" s="20"/>
      <c r="I421" s="20"/>
      <c r="R421" s="20"/>
    </row>
    <row r="422" spans="8:18" ht="15.75" customHeight="1">
      <c r="H422" s="20"/>
      <c r="I422" s="20"/>
      <c r="R422" s="20"/>
    </row>
    <row r="423" spans="8:18" ht="15.75" customHeight="1">
      <c r="H423" s="20"/>
      <c r="I423" s="20"/>
      <c r="R423" s="20"/>
    </row>
    <row r="424" spans="8:18" ht="15.75" customHeight="1">
      <c r="H424" s="20"/>
      <c r="I424" s="20"/>
      <c r="R424" s="20"/>
    </row>
    <row r="425" spans="8:18" ht="15.75" customHeight="1">
      <c r="H425" s="20"/>
      <c r="I425" s="20"/>
      <c r="R425" s="20"/>
    </row>
    <row r="426" spans="8:18" ht="15.75" customHeight="1">
      <c r="H426" s="20"/>
      <c r="I426" s="20"/>
      <c r="R426" s="20"/>
    </row>
    <row r="427" spans="8:18" ht="15.75" customHeight="1">
      <c r="H427" s="20"/>
      <c r="I427" s="20"/>
      <c r="R427" s="20"/>
    </row>
    <row r="428" spans="8:18" ht="15.75" customHeight="1">
      <c r="H428" s="20"/>
      <c r="I428" s="20"/>
      <c r="R428" s="20"/>
    </row>
    <row r="429" spans="8:18" ht="15.75" customHeight="1">
      <c r="H429" s="20"/>
      <c r="I429" s="20"/>
      <c r="R429" s="20"/>
    </row>
    <row r="430" spans="8:18" ht="15.75" customHeight="1">
      <c r="H430" s="20"/>
      <c r="I430" s="20"/>
      <c r="R430" s="20"/>
    </row>
    <row r="431" spans="8:18" ht="15.75" customHeight="1">
      <c r="H431" s="20"/>
      <c r="I431" s="20"/>
      <c r="R431" s="20"/>
    </row>
    <row r="432" spans="8:18" ht="15.75" customHeight="1">
      <c r="H432" s="20"/>
      <c r="I432" s="20"/>
      <c r="R432" s="20"/>
    </row>
    <row r="433" spans="8:18" ht="15.75" customHeight="1">
      <c r="H433" s="20"/>
      <c r="I433" s="20"/>
      <c r="R433" s="20"/>
    </row>
    <row r="434" spans="8:18" ht="15.75" customHeight="1">
      <c r="H434" s="20"/>
      <c r="I434" s="20"/>
      <c r="R434" s="20"/>
    </row>
    <row r="435" spans="8:18" ht="15.75" customHeight="1">
      <c r="H435" s="20"/>
      <c r="I435" s="20"/>
      <c r="R435" s="20"/>
    </row>
    <row r="436" spans="8:18" ht="15.75" customHeight="1">
      <c r="H436" s="20"/>
      <c r="I436" s="20"/>
      <c r="R436" s="20"/>
    </row>
    <row r="437" spans="8:18" ht="15.75" customHeight="1">
      <c r="H437" s="20"/>
      <c r="I437" s="20"/>
      <c r="R437" s="20"/>
    </row>
    <row r="438" spans="8:18" ht="15.75" customHeight="1">
      <c r="H438" s="20"/>
      <c r="I438" s="20"/>
      <c r="R438" s="20"/>
    </row>
    <row r="439" spans="8:18" ht="15.75" customHeight="1">
      <c r="H439" s="20"/>
      <c r="I439" s="20"/>
      <c r="R439" s="20"/>
    </row>
    <row r="440" spans="8:18" ht="15.75" customHeight="1">
      <c r="H440" s="20"/>
      <c r="I440" s="20"/>
      <c r="R440" s="20"/>
    </row>
    <row r="441" spans="8:18" ht="15.75" customHeight="1">
      <c r="H441" s="20"/>
      <c r="I441" s="20"/>
      <c r="R441" s="20"/>
    </row>
    <row r="442" spans="8:18" ht="15.75" customHeight="1">
      <c r="H442" s="20"/>
      <c r="I442" s="20"/>
      <c r="R442" s="20"/>
    </row>
    <row r="443" spans="8:18" ht="15.75" customHeight="1">
      <c r="H443" s="20"/>
      <c r="I443" s="20"/>
      <c r="R443" s="20"/>
    </row>
    <row r="444" spans="8:18" ht="15.75" customHeight="1">
      <c r="H444" s="20"/>
      <c r="I444" s="20"/>
      <c r="R444" s="20"/>
    </row>
    <row r="445" spans="8:18" ht="15.75" customHeight="1">
      <c r="H445" s="20"/>
      <c r="I445" s="20"/>
      <c r="R445" s="20"/>
    </row>
    <row r="446" spans="8:18" ht="15.75" customHeight="1">
      <c r="H446" s="20"/>
      <c r="I446" s="20"/>
      <c r="R446" s="20"/>
    </row>
    <row r="447" spans="8:18" ht="15.75" customHeight="1">
      <c r="H447" s="20"/>
      <c r="I447" s="20"/>
      <c r="R447" s="20"/>
    </row>
    <row r="448" spans="8:18" ht="15.75" customHeight="1">
      <c r="H448" s="20"/>
      <c r="I448" s="20"/>
      <c r="R448" s="20"/>
    </row>
    <row r="449" spans="8:18" ht="15.75" customHeight="1">
      <c r="H449" s="20"/>
      <c r="I449" s="20"/>
      <c r="R449" s="20"/>
    </row>
    <row r="450" spans="8:18" ht="15.75" customHeight="1">
      <c r="H450" s="20"/>
      <c r="I450" s="20"/>
      <c r="R450" s="20"/>
    </row>
    <row r="451" spans="8:18" ht="15.75" customHeight="1">
      <c r="H451" s="20"/>
      <c r="I451" s="20"/>
      <c r="R451" s="20"/>
    </row>
    <row r="452" spans="8:18" ht="15.75" customHeight="1">
      <c r="H452" s="20"/>
      <c r="I452" s="20"/>
      <c r="R452" s="20"/>
    </row>
    <row r="453" spans="8:18" ht="15.75" customHeight="1">
      <c r="H453" s="20"/>
      <c r="I453" s="20"/>
      <c r="R453" s="20"/>
    </row>
    <row r="454" spans="8:18" ht="15.75" customHeight="1">
      <c r="H454" s="20"/>
      <c r="I454" s="20"/>
      <c r="R454" s="20"/>
    </row>
    <row r="455" spans="8:18" ht="15.75" customHeight="1">
      <c r="H455" s="20"/>
      <c r="I455" s="20"/>
      <c r="R455" s="20"/>
    </row>
    <row r="456" spans="8:18" ht="15.75" customHeight="1">
      <c r="H456" s="20"/>
      <c r="I456" s="20"/>
      <c r="R456" s="20"/>
    </row>
    <row r="457" spans="8:18" ht="15.75" customHeight="1">
      <c r="H457" s="20"/>
      <c r="I457" s="20"/>
      <c r="R457" s="20"/>
    </row>
    <row r="458" spans="8:18" ht="15.75" customHeight="1">
      <c r="H458" s="20"/>
      <c r="I458" s="20"/>
      <c r="R458" s="20"/>
    </row>
    <row r="459" spans="8:18" ht="15.75" customHeight="1">
      <c r="H459" s="20"/>
      <c r="I459" s="20"/>
      <c r="R459" s="20"/>
    </row>
    <row r="460" spans="8:18" ht="15.75" customHeight="1">
      <c r="H460" s="20"/>
      <c r="I460" s="20"/>
      <c r="R460" s="20"/>
    </row>
    <row r="461" spans="8:18" ht="15.75" customHeight="1">
      <c r="H461" s="20"/>
      <c r="I461" s="20"/>
      <c r="R461" s="20"/>
    </row>
    <row r="462" spans="8:18" ht="15.75" customHeight="1">
      <c r="H462" s="20"/>
      <c r="I462" s="20"/>
      <c r="R462" s="20"/>
    </row>
    <row r="463" spans="8:18" ht="15.75" customHeight="1">
      <c r="H463" s="20"/>
      <c r="I463" s="20"/>
      <c r="R463" s="20"/>
    </row>
    <row r="464" spans="8:18" ht="15.75" customHeight="1">
      <c r="H464" s="20"/>
      <c r="I464" s="20"/>
      <c r="R464" s="20"/>
    </row>
    <row r="465" spans="8:18" ht="15.75" customHeight="1">
      <c r="H465" s="20"/>
      <c r="I465" s="20"/>
      <c r="R465" s="20"/>
    </row>
    <row r="466" spans="8:18" ht="15.75" customHeight="1">
      <c r="H466" s="20"/>
      <c r="I466" s="20"/>
      <c r="R466" s="20"/>
    </row>
    <row r="467" spans="8:18" ht="15.75" customHeight="1">
      <c r="H467" s="20"/>
      <c r="I467" s="20"/>
      <c r="R467" s="20"/>
    </row>
    <row r="468" spans="8:18" ht="15.75" customHeight="1">
      <c r="H468" s="20"/>
      <c r="I468" s="20"/>
      <c r="R468" s="20"/>
    </row>
    <row r="469" spans="8:18" ht="15.75" customHeight="1">
      <c r="H469" s="20"/>
      <c r="I469" s="20"/>
      <c r="R469" s="20"/>
    </row>
    <row r="470" spans="8:18" ht="15.75" customHeight="1">
      <c r="H470" s="20"/>
      <c r="I470" s="20"/>
      <c r="R470" s="20"/>
    </row>
    <row r="471" spans="8:18" ht="15.75" customHeight="1">
      <c r="H471" s="20"/>
      <c r="I471" s="20"/>
      <c r="R471" s="20"/>
    </row>
    <row r="472" spans="8:18" ht="15.75" customHeight="1">
      <c r="H472" s="20"/>
      <c r="I472" s="20"/>
      <c r="R472" s="20"/>
    </row>
    <row r="473" spans="8:18" ht="15.75" customHeight="1">
      <c r="H473" s="20"/>
      <c r="I473" s="20"/>
      <c r="R473" s="20"/>
    </row>
    <row r="474" spans="8:18" ht="15.75" customHeight="1">
      <c r="H474" s="20"/>
      <c r="I474" s="20"/>
      <c r="R474" s="20"/>
    </row>
    <row r="475" spans="8:18" ht="15.75" customHeight="1">
      <c r="H475" s="20"/>
      <c r="I475" s="20"/>
      <c r="R475" s="20"/>
    </row>
    <row r="476" spans="8:18" ht="15.75" customHeight="1">
      <c r="H476" s="20"/>
      <c r="I476" s="20"/>
      <c r="R476" s="20"/>
    </row>
    <row r="477" spans="8:18" ht="15.75" customHeight="1">
      <c r="H477" s="20"/>
      <c r="I477" s="20"/>
      <c r="R477" s="20"/>
    </row>
    <row r="478" spans="8:18" ht="15.75" customHeight="1">
      <c r="H478" s="20"/>
      <c r="I478" s="20"/>
      <c r="R478" s="20"/>
    </row>
    <row r="479" spans="8:18" ht="15.75" customHeight="1">
      <c r="H479" s="20"/>
      <c r="I479" s="20"/>
      <c r="R479" s="20"/>
    </row>
    <row r="480" spans="8:18" ht="15.75" customHeight="1">
      <c r="H480" s="20"/>
      <c r="I480" s="20"/>
      <c r="R480" s="20"/>
    </row>
    <row r="481" spans="8:18" ht="15.75" customHeight="1">
      <c r="H481" s="20"/>
      <c r="I481" s="20"/>
      <c r="R481" s="20"/>
    </row>
    <row r="482" spans="8:18" ht="15.75" customHeight="1">
      <c r="H482" s="20"/>
      <c r="I482" s="20"/>
      <c r="R482" s="20"/>
    </row>
    <row r="483" spans="8:18" ht="15.75" customHeight="1">
      <c r="H483" s="20"/>
      <c r="I483" s="20"/>
      <c r="R483" s="20"/>
    </row>
    <row r="484" spans="8:18" ht="15.75" customHeight="1">
      <c r="H484" s="20"/>
      <c r="I484" s="20"/>
      <c r="R484" s="20"/>
    </row>
    <row r="485" spans="8:18" ht="15.75" customHeight="1">
      <c r="H485" s="20"/>
      <c r="I485" s="20"/>
      <c r="R485" s="20"/>
    </row>
    <row r="486" spans="8:18" ht="15.75" customHeight="1">
      <c r="H486" s="20"/>
      <c r="I486" s="20"/>
      <c r="R486" s="20"/>
    </row>
    <row r="487" spans="8:18" ht="15.75" customHeight="1">
      <c r="H487" s="20"/>
      <c r="I487" s="20"/>
      <c r="R487" s="20"/>
    </row>
    <row r="488" spans="8:18" ht="15.75" customHeight="1">
      <c r="H488" s="20"/>
      <c r="I488" s="20"/>
      <c r="R488" s="20"/>
    </row>
    <row r="489" spans="8:18" ht="15.75" customHeight="1">
      <c r="H489" s="20"/>
      <c r="I489" s="20"/>
      <c r="R489" s="20"/>
    </row>
    <row r="490" spans="8:18" ht="15.75" customHeight="1">
      <c r="H490" s="20"/>
      <c r="I490" s="20"/>
      <c r="R490" s="20"/>
    </row>
    <row r="491" spans="8:18" ht="15.75" customHeight="1">
      <c r="H491" s="20"/>
      <c r="I491" s="20"/>
      <c r="R491" s="20"/>
    </row>
    <row r="492" spans="8:18" ht="15.75" customHeight="1">
      <c r="H492" s="20"/>
      <c r="I492" s="20"/>
      <c r="R492" s="20"/>
    </row>
    <row r="493" spans="8:18" ht="15.75" customHeight="1">
      <c r="H493" s="20"/>
      <c r="I493" s="20"/>
      <c r="R493" s="20"/>
    </row>
    <row r="494" spans="8:18" ht="15.75" customHeight="1">
      <c r="H494" s="20"/>
      <c r="I494" s="20"/>
      <c r="R494" s="20"/>
    </row>
    <row r="495" spans="8:18" ht="15.75" customHeight="1">
      <c r="H495" s="20"/>
      <c r="I495" s="20"/>
      <c r="R495" s="20"/>
    </row>
    <row r="496" spans="8:18" ht="15.75" customHeight="1">
      <c r="H496" s="20"/>
      <c r="I496" s="20"/>
      <c r="R496" s="20"/>
    </row>
    <row r="497" spans="8:18" ht="15.75" customHeight="1">
      <c r="H497" s="20"/>
      <c r="I497" s="20"/>
      <c r="R497" s="20"/>
    </row>
    <row r="498" spans="8:18" ht="15.75" customHeight="1">
      <c r="H498" s="20"/>
      <c r="I498" s="20"/>
      <c r="R498" s="20"/>
    </row>
    <row r="499" spans="8:18" ht="15.75" customHeight="1">
      <c r="H499" s="20"/>
      <c r="I499" s="20"/>
      <c r="R499" s="20"/>
    </row>
    <row r="500" spans="8:18" ht="15.75" customHeight="1">
      <c r="H500" s="20"/>
      <c r="I500" s="20"/>
      <c r="R500" s="20"/>
    </row>
    <row r="501" spans="8:18" ht="15.75" customHeight="1">
      <c r="H501" s="20"/>
      <c r="I501" s="20"/>
      <c r="R501" s="20"/>
    </row>
    <row r="502" spans="8:18" ht="15.75" customHeight="1">
      <c r="H502" s="20"/>
      <c r="I502" s="20"/>
      <c r="R502" s="20"/>
    </row>
    <row r="503" spans="8:18" ht="15.75" customHeight="1">
      <c r="H503" s="20"/>
      <c r="I503" s="20"/>
      <c r="R503" s="20"/>
    </row>
    <row r="504" spans="8:18" ht="15.75" customHeight="1">
      <c r="H504" s="20"/>
      <c r="I504" s="20"/>
      <c r="R504" s="20"/>
    </row>
    <row r="505" spans="8:18" ht="15.75" customHeight="1">
      <c r="H505" s="20"/>
      <c r="I505" s="20"/>
      <c r="R505" s="20"/>
    </row>
    <row r="506" spans="8:18" ht="15.75" customHeight="1">
      <c r="H506" s="20"/>
      <c r="I506" s="20"/>
      <c r="R506" s="20"/>
    </row>
    <row r="507" spans="8:18" ht="15.75" customHeight="1">
      <c r="H507" s="20"/>
      <c r="I507" s="20"/>
      <c r="R507" s="20"/>
    </row>
    <row r="508" spans="8:18" ht="15.75" customHeight="1">
      <c r="H508" s="20"/>
      <c r="I508" s="20"/>
      <c r="R508" s="20"/>
    </row>
    <row r="509" spans="8:18" ht="15.75" customHeight="1">
      <c r="H509" s="20"/>
      <c r="I509" s="20"/>
      <c r="R509" s="20"/>
    </row>
    <row r="510" spans="8:18" ht="15.75" customHeight="1">
      <c r="H510" s="20"/>
      <c r="I510" s="20"/>
      <c r="R510" s="20"/>
    </row>
    <row r="511" spans="8:18" ht="15.75" customHeight="1">
      <c r="H511" s="20"/>
      <c r="I511" s="20"/>
      <c r="R511" s="20"/>
    </row>
    <row r="512" spans="8:18" ht="15.75" customHeight="1">
      <c r="H512" s="20"/>
      <c r="I512" s="20"/>
      <c r="R512" s="20"/>
    </row>
    <row r="513" spans="8:18" ht="15.75" customHeight="1">
      <c r="H513" s="20"/>
      <c r="I513" s="20"/>
      <c r="R513" s="20"/>
    </row>
    <row r="514" spans="8:18" ht="15.75" customHeight="1">
      <c r="H514" s="20"/>
      <c r="I514" s="20"/>
      <c r="R514" s="20"/>
    </row>
    <row r="515" spans="8:18" ht="15.75" customHeight="1">
      <c r="H515" s="20"/>
      <c r="I515" s="20"/>
      <c r="R515" s="20"/>
    </row>
    <row r="516" spans="8:18" ht="15.75" customHeight="1">
      <c r="H516" s="20"/>
      <c r="I516" s="20"/>
      <c r="R516" s="20"/>
    </row>
    <row r="517" spans="8:18" ht="15.75" customHeight="1">
      <c r="H517" s="20"/>
      <c r="I517" s="20"/>
      <c r="R517" s="20"/>
    </row>
    <row r="518" spans="8:18" ht="15.75" customHeight="1">
      <c r="H518" s="20"/>
      <c r="I518" s="20"/>
      <c r="R518" s="20"/>
    </row>
    <row r="519" spans="8:18" ht="15.75" customHeight="1">
      <c r="H519" s="20"/>
      <c r="I519" s="20"/>
      <c r="R519" s="20"/>
    </row>
    <row r="520" spans="8:18" ht="15.75" customHeight="1">
      <c r="H520" s="20"/>
      <c r="I520" s="20"/>
      <c r="R520" s="20"/>
    </row>
    <row r="521" spans="8:18" ht="15.75" customHeight="1">
      <c r="H521" s="20"/>
      <c r="I521" s="20"/>
      <c r="R521" s="20"/>
    </row>
    <row r="522" spans="8:18" ht="15.75" customHeight="1">
      <c r="H522" s="20"/>
      <c r="I522" s="20"/>
      <c r="R522" s="20"/>
    </row>
    <row r="523" spans="8:18" ht="15.75" customHeight="1">
      <c r="H523" s="20"/>
      <c r="I523" s="20"/>
      <c r="R523" s="20"/>
    </row>
    <row r="524" spans="8:18" ht="15.75" customHeight="1">
      <c r="H524" s="20"/>
      <c r="I524" s="20"/>
      <c r="R524" s="20"/>
    </row>
    <row r="525" spans="8:18" ht="15.75" customHeight="1">
      <c r="H525" s="20"/>
      <c r="I525" s="20"/>
      <c r="R525" s="20"/>
    </row>
    <row r="526" spans="8:18" ht="15.75" customHeight="1">
      <c r="H526" s="20"/>
      <c r="I526" s="20"/>
      <c r="R526" s="20"/>
    </row>
    <row r="527" spans="8:18" ht="15.75" customHeight="1">
      <c r="H527" s="20"/>
      <c r="I527" s="20"/>
      <c r="R527" s="20"/>
    </row>
    <row r="528" spans="8:18" ht="15.75" customHeight="1">
      <c r="H528" s="20"/>
      <c r="I528" s="20"/>
      <c r="R528" s="20"/>
    </row>
    <row r="529" spans="8:18" ht="15.75" customHeight="1">
      <c r="H529" s="20"/>
      <c r="I529" s="20"/>
      <c r="R529" s="20"/>
    </row>
    <row r="530" spans="8:18" ht="15.75" customHeight="1">
      <c r="H530" s="20"/>
      <c r="I530" s="20"/>
      <c r="R530" s="20"/>
    </row>
    <row r="531" spans="8:18" ht="15.75" customHeight="1">
      <c r="H531" s="20"/>
      <c r="I531" s="20"/>
      <c r="R531" s="20"/>
    </row>
    <row r="532" spans="8:18" ht="15.75" customHeight="1">
      <c r="H532" s="20"/>
      <c r="I532" s="20"/>
      <c r="R532" s="20"/>
    </row>
    <row r="533" spans="8:18" ht="15.75" customHeight="1">
      <c r="H533" s="20"/>
      <c r="I533" s="20"/>
      <c r="R533" s="20"/>
    </row>
    <row r="534" spans="8:18" ht="15.75" customHeight="1">
      <c r="H534" s="20"/>
      <c r="I534" s="20"/>
      <c r="R534" s="20"/>
    </row>
    <row r="535" spans="8:18" ht="15.75" customHeight="1">
      <c r="H535" s="20"/>
      <c r="I535" s="20"/>
      <c r="R535" s="20"/>
    </row>
    <row r="536" spans="8:18" ht="15.75" customHeight="1">
      <c r="H536" s="20"/>
      <c r="I536" s="20"/>
      <c r="R536" s="20"/>
    </row>
    <row r="537" spans="8:18" ht="15.75" customHeight="1">
      <c r="H537" s="20"/>
      <c r="I537" s="20"/>
      <c r="R537" s="20"/>
    </row>
    <row r="538" spans="8:18" ht="15.75" customHeight="1">
      <c r="H538" s="20"/>
      <c r="I538" s="20"/>
      <c r="R538" s="20"/>
    </row>
    <row r="539" spans="8:18" ht="15.75" customHeight="1">
      <c r="H539" s="20"/>
      <c r="I539" s="20"/>
      <c r="R539" s="20"/>
    </row>
    <row r="540" spans="8:18" ht="15.75" customHeight="1">
      <c r="H540" s="20"/>
      <c r="I540" s="20"/>
      <c r="R540" s="20"/>
    </row>
    <row r="541" spans="8:18" ht="15.75" customHeight="1">
      <c r="H541" s="20"/>
      <c r="I541" s="20"/>
      <c r="R541" s="20"/>
    </row>
    <row r="542" spans="8:18" ht="15.75" customHeight="1">
      <c r="H542" s="20"/>
      <c r="I542" s="20"/>
      <c r="R542" s="20"/>
    </row>
    <row r="543" spans="8:18" ht="15.75" customHeight="1">
      <c r="H543" s="20"/>
      <c r="I543" s="20"/>
      <c r="R543" s="20"/>
    </row>
    <row r="544" spans="8:18" ht="15.75" customHeight="1">
      <c r="H544" s="20"/>
      <c r="I544" s="20"/>
      <c r="R544" s="20"/>
    </row>
    <row r="545" spans="8:18" ht="15.75" customHeight="1">
      <c r="H545" s="20"/>
      <c r="I545" s="20"/>
      <c r="R545" s="20"/>
    </row>
    <row r="546" spans="8:18" ht="15.75" customHeight="1">
      <c r="H546" s="20"/>
      <c r="I546" s="20"/>
      <c r="R546" s="20"/>
    </row>
    <row r="547" spans="8:18" ht="15.75" customHeight="1">
      <c r="H547" s="20"/>
      <c r="I547" s="20"/>
      <c r="R547" s="20"/>
    </row>
    <row r="548" spans="8:18" ht="15.75" customHeight="1">
      <c r="H548" s="20"/>
      <c r="I548" s="20"/>
      <c r="R548" s="20"/>
    </row>
    <row r="549" spans="8:18" ht="15.75" customHeight="1">
      <c r="H549" s="20"/>
      <c r="I549" s="20"/>
      <c r="R549" s="20"/>
    </row>
    <row r="550" spans="8:18" ht="15.75" customHeight="1">
      <c r="H550" s="20"/>
      <c r="I550" s="20"/>
      <c r="R550" s="20"/>
    </row>
    <row r="551" spans="8:18" ht="15.75" customHeight="1">
      <c r="H551" s="20"/>
      <c r="I551" s="20"/>
      <c r="R551" s="20"/>
    </row>
    <row r="552" spans="8:18" ht="15.75" customHeight="1">
      <c r="H552" s="20"/>
      <c r="I552" s="20"/>
      <c r="R552" s="20"/>
    </row>
    <row r="553" spans="8:18" ht="15.75" customHeight="1">
      <c r="H553" s="20"/>
      <c r="I553" s="20"/>
      <c r="R553" s="20"/>
    </row>
    <row r="554" spans="8:18" ht="15.75" customHeight="1">
      <c r="H554" s="20"/>
      <c r="I554" s="20"/>
      <c r="R554" s="20"/>
    </row>
    <row r="555" spans="8:18" ht="15.75" customHeight="1">
      <c r="H555" s="20"/>
      <c r="I555" s="20"/>
      <c r="R555" s="20"/>
    </row>
    <row r="556" spans="8:18" ht="15.75" customHeight="1">
      <c r="H556" s="20"/>
      <c r="I556" s="20"/>
      <c r="R556" s="20"/>
    </row>
    <row r="557" spans="8:18" ht="15.75" customHeight="1">
      <c r="H557" s="20"/>
      <c r="I557" s="20"/>
      <c r="R557" s="20"/>
    </row>
    <row r="558" spans="8:18" ht="15.75" customHeight="1">
      <c r="H558" s="20"/>
      <c r="I558" s="20"/>
      <c r="R558" s="20"/>
    </row>
    <row r="559" spans="8:18" ht="15.75" customHeight="1">
      <c r="H559" s="20"/>
      <c r="I559" s="20"/>
      <c r="R559" s="20"/>
    </row>
    <row r="560" spans="8:18" ht="15.75" customHeight="1">
      <c r="H560" s="20"/>
      <c r="I560" s="20"/>
      <c r="R560" s="20"/>
    </row>
    <row r="561" spans="8:18" ht="15.75" customHeight="1">
      <c r="H561" s="20"/>
      <c r="I561" s="20"/>
      <c r="R561" s="20"/>
    </row>
    <row r="562" spans="8:18" ht="15.75" customHeight="1">
      <c r="H562" s="20"/>
      <c r="I562" s="20"/>
      <c r="R562" s="20"/>
    </row>
    <row r="563" spans="8:18" ht="15.75" customHeight="1">
      <c r="H563" s="20"/>
      <c r="I563" s="20"/>
      <c r="R563" s="20"/>
    </row>
    <row r="564" spans="8:18" ht="15.75" customHeight="1">
      <c r="H564" s="20"/>
      <c r="I564" s="20"/>
      <c r="R564" s="20"/>
    </row>
    <row r="565" spans="8:18" ht="15.75" customHeight="1">
      <c r="H565" s="20"/>
      <c r="I565" s="20"/>
      <c r="R565" s="20"/>
    </row>
    <row r="566" spans="8:18" ht="15.75" customHeight="1">
      <c r="H566" s="20"/>
      <c r="I566" s="20"/>
      <c r="R566" s="20"/>
    </row>
    <row r="567" spans="8:18" ht="15.75" customHeight="1">
      <c r="H567" s="20"/>
      <c r="I567" s="20"/>
      <c r="R567" s="20"/>
    </row>
    <row r="568" spans="8:18" ht="15.75" customHeight="1">
      <c r="H568" s="20"/>
      <c r="I568" s="20"/>
      <c r="R568" s="20"/>
    </row>
    <row r="569" spans="8:18" ht="15.75" customHeight="1">
      <c r="H569" s="20"/>
      <c r="I569" s="20"/>
      <c r="R569" s="20"/>
    </row>
    <row r="570" spans="8:18" ht="15.75" customHeight="1">
      <c r="H570" s="20"/>
      <c r="I570" s="20"/>
      <c r="R570" s="20"/>
    </row>
    <row r="571" spans="8:18" ht="15.75" customHeight="1">
      <c r="H571" s="20"/>
      <c r="I571" s="20"/>
      <c r="R571" s="20"/>
    </row>
    <row r="572" spans="8:18" ht="15.75" customHeight="1">
      <c r="H572" s="20"/>
      <c r="I572" s="20"/>
      <c r="R572" s="20"/>
    </row>
    <row r="573" spans="8:18" ht="15.75" customHeight="1">
      <c r="H573" s="20"/>
      <c r="I573" s="20"/>
      <c r="R573" s="20"/>
    </row>
    <row r="574" spans="8:18" ht="15.75" customHeight="1">
      <c r="H574" s="20"/>
      <c r="I574" s="20"/>
      <c r="R574" s="20"/>
    </row>
    <row r="575" spans="8:18" ht="15.75" customHeight="1">
      <c r="H575" s="20"/>
      <c r="I575" s="20"/>
      <c r="R575" s="20"/>
    </row>
    <row r="576" spans="8:18" ht="15.75" customHeight="1">
      <c r="H576" s="20"/>
      <c r="I576" s="20"/>
      <c r="R576" s="20"/>
    </row>
    <row r="577" spans="8:18" ht="15.75" customHeight="1">
      <c r="H577" s="20"/>
      <c r="I577" s="20"/>
      <c r="R577" s="20"/>
    </row>
    <row r="578" spans="8:18" ht="15.75" customHeight="1">
      <c r="H578" s="20"/>
      <c r="I578" s="20"/>
      <c r="R578" s="20"/>
    </row>
    <row r="579" spans="8:18" ht="15.75" customHeight="1">
      <c r="H579" s="20"/>
      <c r="I579" s="20"/>
      <c r="R579" s="20"/>
    </row>
    <row r="580" spans="8:18" ht="15.75" customHeight="1">
      <c r="H580" s="20"/>
      <c r="I580" s="20"/>
      <c r="R580" s="20"/>
    </row>
    <row r="581" spans="8:18" ht="15.75" customHeight="1">
      <c r="H581" s="20"/>
      <c r="I581" s="20"/>
      <c r="R581" s="20"/>
    </row>
    <row r="582" spans="8:18" ht="15.75" customHeight="1">
      <c r="H582" s="20"/>
      <c r="I582" s="20"/>
      <c r="R582" s="20"/>
    </row>
    <row r="583" spans="8:18" ht="15.75" customHeight="1">
      <c r="H583" s="20"/>
      <c r="I583" s="20"/>
      <c r="R583" s="20"/>
    </row>
    <row r="584" spans="8:18" ht="15.75" customHeight="1">
      <c r="H584" s="20"/>
      <c r="I584" s="20"/>
      <c r="R584" s="20"/>
    </row>
    <row r="585" spans="8:18" ht="15.75" customHeight="1">
      <c r="H585" s="20"/>
      <c r="I585" s="20"/>
      <c r="R585" s="20"/>
    </row>
    <row r="586" spans="8:18" ht="15.75" customHeight="1">
      <c r="H586" s="20"/>
      <c r="I586" s="20"/>
      <c r="R586" s="20"/>
    </row>
    <row r="587" spans="8:18" ht="15.75" customHeight="1">
      <c r="H587" s="20"/>
      <c r="I587" s="20"/>
      <c r="R587" s="20"/>
    </row>
    <row r="588" spans="8:18" ht="15.75" customHeight="1">
      <c r="H588" s="20"/>
      <c r="I588" s="20"/>
      <c r="R588" s="20"/>
    </row>
    <row r="589" spans="8:18" ht="15.75" customHeight="1">
      <c r="H589" s="20"/>
      <c r="I589" s="20"/>
      <c r="R589" s="20"/>
    </row>
    <row r="590" spans="8:18" ht="15.75" customHeight="1">
      <c r="H590" s="20"/>
      <c r="I590" s="20"/>
      <c r="R590" s="20"/>
    </row>
    <row r="591" spans="8:18" ht="15.75" customHeight="1">
      <c r="H591" s="20"/>
      <c r="I591" s="20"/>
      <c r="R591" s="20"/>
    </row>
    <row r="592" spans="8:18" ht="15.75" customHeight="1">
      <c r="H592" s="20"/>
      <c r="I592" s="20"/>
      <c r="R592" s="20"/>
    </row>
    <row r="593" spans="8:18" ht="15.75" customHeight="1">
      <c r="H593" s="20"/>
      <c r="I593" s="20"/>
      <c r="R593" s="20"/>
    </row>
    <row r="594" spans="8:18" ht="15.75" customHeight="1">
      <c r="H594" s="20"/>
      <c r="I594" s="20"/>
      <c r="R594" s="20"/>
    </row>
    <row r="595" spans="8:18" ht="15.75" customHeight="1">
      <c r="H595" s="20"/>
      <c r="I595" s="20"/>
      <c r="R595" s="20"/>
    </row>
    <row r="596" spans="8:18" ht="15.75" customHeight="1">
      <c r="H596" s="20"/>
      <c r="I596" s="20"/>
      <c r="R596" s="20"/>
    </row>
    <row r="597" spans="8:18" ht="15.75" customHeight="1">
      <c r="H597" s="20"/>
      <c r="I597" s="20"/>
      <c r="R597" s="20"/>
    </row>
    <row r="598" spans="8:18" ht="15.75" customHeight="1">
      <c r="H598" s="20"/>
      <c r="I598" s="20"/>
      <c r="R598" s="20"/>
    </row>
    <row r="599" spans="8:18" ht="15.75" customHeight="1">
      <c r="H599" s="20"/>
      <c r="I599" s="20"/>
      <c r="R599" s="20"/>
    </row>
    <row r="600" spans="8:18" ht="15.75" customHeight="1">
      <c r="H600" s="20"/>
      <c r="I600" s="20"/>
      <c r="R600" s="20"/>
    </row>
    <row r="601" spans="8:18" ht="15.75" customHeight="1">
      <c r="H601" s="20"/>
      <c r="I601" s="20"/>
      <c r="R601" s="20"/>
    </row>
    <row r="602" spans="8:18" ht="15.75" customHeight="1">
      <c r="H602" s="20"/>
      <c r="I602" s="20"/>
      <c r="R602" s="20"/>
    </row>
    <row r="603" spans="8:18" ht="15.75" customHeight="1">
      <c r="H603" s="20"/>
      <c r="I603" s="20"/>
      <c r="R603" s="20"/>
    </row>
    <row r="604" spans="8:18" ht="15.75" customHeight="1">
      <c r="H604" s="20"/>
      <c r="I604" s="20"/>
      <c r="R604" s="20"/>
    </row>
    <row r="605" spans="8:18" ht="15.75" customHeight="1">
      <c r="H605" s="20"/>
      <c r="I605" s="20"/>
      <c r="R605" s="20"/>
    </row>
    <row r="606" spans="8:18" ht="15.75" customHeight="1">
      <c r="H606" s="20"/>
      <c r="I606" s="20"/>
      <c r="R606" s="20"/>
    </row>
    <row r="607" spans="8:18" ht="15.75" customHeight="1">
      <c r="H607" s="20"/>
      <c r="I607" s="20"/>
      <c r="R607" s="20"/>
    </row>
    <row r="608" spans="8:18" ht="15.75" customHeight="1">
      <c r="H608" s="20"/>
      <c r="I608" s="20"/>
      <c r="R608" s="20"/>
    </row>
    <row r="609" spans="8:18" ht="15.75" customHeight="1">
      <c r="H609" s="20"/>
      <c r="I609" s="20"/>
      <c r="R609" s="20"/>
    </row>
    <row r="610" spans="8:18" ht="15.75" customHeight="1">
      <c r="H610" s="20"/>
      <c r="I610" s="20"/>
      <c r="R610" s="20"/>
    </row>
    <row r="611" spans="8:18" ht="15.75" customHeight="1">
      <c r="H611" s="20"/>
      <c r="I611" s="20"/>
      <c r="R611" s="20"/>
    </row>
    <row r="612" spans="8:18" ht="15.75" customHeight="1">
      <c r="H612" s="20"/>
      <c r="I612" s="20"/>
      <c r="R612" s="20"/>
    </row>
    <row r="613" spans="8:18" ht="15.75" customHeight="1">
      <c r="H613" s="20"/>
      <c r="I613" s="20"/>
      <c r="R613" s="20"/>
    </row>
    <row r="614" spans="8:18" ht="15.75" customHeight="1">
      <c r="H614" s="20"/>
      <c r="I614" s="20"/>
      <c r="R614" s="20"/>
    </row>
    <row r="615" spans="8:18" ht="15.75" customHeight="1">
      <c r="H615" s="20"/>
      <c r="I615" s="20"/>
      <c r="R615" s="20"/>
    </row>
    <row r="616" spans="8:18" ht="15.75" customHeight="1">
      <c r="H616" s="20"/>
      <c r="I616" s="20"/>
      <c r="R616" s="20"/>
    </row>
    <row r="617" spans="8:18" ht="15.75" customHeight="1">
      <c r="H617" s="20"/>
      <c r="I617" s="20"/>
      <c r="R617" s="20"/>
    </row>
    <row r="618" spans="8:18" ht="15.75" customHeight="1">
      <c r="H618" s="20"/>
      <c r="I618" s="20"/>
      <c r="R618" s="20"/>
    </row>
    <row r="619" spans="8:18" ht="15.75" customHeight="1">
      <c r="H619" s="20"/>
      <c r="I619" s="20"/>
      <c r="R619" s="20"/>
    </row>
    <row r="620" spans="8:18" ht="15.75" customHeight="1">
      <c r="H620" s="20"/>
      <c r="I620" s="20"/>
      <c r="R620" s="20"/>
    </row>
    <row r="621" spans="8:18" ht="15.75" customHeight="1">
      <c r="H621" s="20"/>
      <c r="I621" s="20"/>
      <c r="R621" s="20"/>
    </row>
    <row r="622" spans="8:18" ht="15.75" customHeight="1">
      <c r="H622" s="20"/>
      <c r="I622" s="20"/>
      <c r="R622" s="20"/>
    </row>
    <row r="623" spans="8:18" ht="15.75" customHeight="1">
      <c r="H623" s="20"/>
      <c r="I623" s="20"/>
      <c r="R623" s="20"/>
    </row>
    <row r="624" spans="8:18" ht="15.75" customHeight="1">
      <c r="H624" s="20"/>
      <c r="I624" s="20"/>
      <c r="R624" s="20"/>
    </row>
    <row r="625" spans="8:18" ht="15.75" customHeight="1">
      <c r="H625" s="20"/>
      <c r="I625" s="20"/>
      <c r="R625" s="20"/>
    </row>
    <row r="626" spans="8:18" ht="15.75" customHeight="1">
      <c r="H626" s="20"/>
      <c r="I626" s="20"/>
      <c r="R626" s="20"/>
    </row>
    <row r="627" spans="8:18" ht="15.75" customHeight="1">
      <c r="H627" s="20"/>
      <c r="I627" s="20"/>
      <c r="R627" s="20"/>
    </row>
    <row r="628" spans="8:18" ht="15.75" customHeight="1">
      <c r="H628" s="20"/>
      <c r="I628" s="20"/>
      <c r="R628" s="20"/>
    </row>
    <row r="629" spans="8:18" ht="15.75" customHeight="1">
      <c r="H629" s="20"/>
      <c r="I629" s="20"/>
      <c r="R629" s="20"/>
    </row>
    <row r="630" spans="8:18" ht="15.75" customHeight="1">
      <c r="H630" s="20"/>
      <c r="I630" s="20"/>
      <c r="R630" s="20"/>
    </row>
    <row r="631" spans="8:18" ht="15.75" customHeight="1">
      <c r="H631" s="20"/>
      <c r="I631" s="20"/>
      <c r="R631" s="20"/>
    </row>
    <row r="632" spans="8:18" ht="15.75" customHeight="1">
      <c r="H632" s="20"/>
      <c r="I632" s="20"/>
      <c r="R632" s="20"/>
    </row>
    <row r="633" spans="8:18" ht="15.75" customHeight="1">
      <c r="H633" s="20"/>
      <c r="I633" s="20"/>
      <c r="R633" s="20"/>
    </row>
    <row r="634" spans="8:18" ht="15.75" customHeight="1">
      <c r="H634" s="20"/>
      <c r="I634" s="20"/>
      <c r="R634" s="20"/>
    </row>
    <row r="635" spans="8:18" ht="15.75" customHeight="1">
      <c r="H635" s="20"/>
      <c r="I635" s="20"/>
      <c r="R635" s="20"/>
    </row>
    <row r="636" spans="8:18" ht="15.75" customHeight="1">
      <c r="H636" s="20"/>
      <c r="I636" s="20"/>
      <c r="R636" s="20"/>
    </row>
    <row r="637" spans="8:18" ht="15.75" customHeight="1">
      <c r="H637" s="20"/>
      <c r="I637" s="20"/>
      <c r="R637" s="20"/>
    </row>
    <row r="638" spans="8:18" ht="15.75" customHeight="1">
      <c r="H638" s="20"/>
      <c r="I638" s="20"/>
      <c r="R638" s="20"/>
    </row>
    <row r="639" spans="8:18" ht="15.75" customHeight="1">
      <c r="H639" s="20"/>
      <c r="I639" s="20"/>
      <c r="R639" s="20"/>
    </row>
    <row r="640" spans="8:18" ht="15.75" customHeight="1">
      <c r="H640" s="20"/>
      <c r="I640" s="20"/>
      <c r="R640" s="20"/>
    </row>
    <row r="641" spans="8:18" ht="15.75" customHeight="1">
      <c r="H641" s="20"/>
      <c r="I641" s="20"/>
      <c r="R641" s="20"/>
    </row>
    <row r="642" spans="8:18" ht="15.75" customHeight="1">
      <c r="H642" s="20"/>
      <c r="I642" s="20"/>
      <c r="R642" s="20"/>
    </row>
    <row r="643" spans="8:18" ht="15.75" customHeight="1">
      <c r="H643" s="20"/>
      <c r="I643" s="20"/>
      <c r="R643" s="20"/>
    </row>
    <row r="644" spans="8:18" ht="15.75" customHeight="1">
      <c r="H644" s="20"/>
      <c r="I644" s="20"/>
      <c r="R644" s="20"/>
    </row>
    <row r="645" spans="8:18" ht="15.75" customHeight="1">
      <c r="H645" s="20"/>
      <c r="I645" s="20"/>
      <c r="R645" s="20"/>
    </row>
    <row r="646" spans="8:18" ht="15.75" customHeight="1">
      <c r="H646" s="20"/>
      <c r="I646" s="20"/>
      <c r="R646" s="20"/>
    </row>
    <row r="647" spans="8:18" ht="15.75" customHeight="1">
      <c r="H647" s="20"/>
      <c r="I647" s="20"/>
      <c r="R647" s="20"/>
    </row>
    <row r="648" spans="8:18" ht="15.75" customHeight="1">
      <c r="H648" s="20"/>
      <c r="I648" s="20"/>
      <c r="R648" s="20"/>
    </row>
    <row r="649" spans="8:18" ht="15.75" customHeight="1">
      <c r="H649" s="20"/>
      <c r="I649" s="20"/>
      <c r="R649" s="20"/>
    </row>
    <row r="650" spans="8:18" ht="15.75" customHeight="1">
      <c r="H650" s="20"/>
      <c r="I650" s="20"/>
      <c r="R650" s="20"/>
    </row>
    <row r="651" spans="8:18" ht="15.75" customHeight="1">
      <c r="H651" s="20"/>
      <c r="I651" s="20"/>
      <c r="R651" s="20"/>
    </row>
    <row r="652" spans="8:18" ht="15.75" customHeight="1">
      <c r="H652" s="20"/>
      <c r="I652" s="20"/>
      <c r="R652" s="20"/>
    </row>
    <row r="653" spans="8:18" ht="15.75" customHeight="1">
      <c r="H653" s="20"/>
      <c r="I653" s="20"/>
      <c r="R653" s="20"/>
    </row>
    <row r="654" spans="8:18" ht="15.75" customHeight="1">
      <c r="H654" s="20"/>
      <c r="I654" s="20"/>
      <c r="R654" s="20"/>
    </row>
    <row r="655" spans="8:18" ht="15.75" customHeight="1">
      <c r="H655" s="20"/>
      <c r="I655" s="20"/>
      <c r="R655" s="20"/>
    </row>
    <row r="656" spans="8:18" ht="15.75" customHeight="1">
      <c r="H656" s="20"/>
      <c r="I656" s="20"/>
      <c r="R656" s="20"/>
    </row>
    <row r="657" spans="8:18" ht="15.75" customHeight="1">
      <c r="H657" s="20"/>
      <c r="I657" s="20"/>
      <c r="R657" s="20"/>
    </row>
    <row r="658" spans="8:18" ht="15.75" customHeight="1">
      <c r="H658" s="20"/>
      <c r="I658" s="20"/>
      <c r="R658" s="20"/>
    </row>
    <row r="659" spans="8:18" ht="15.75" customHeight="1">
      <c r="H659" s="20"/>
      <c r="I659" s="20"/>
      <c r="R659" s="20"/>
    </row>
    <row r="660" spans="8:18" ht="15.75" customHeight="1">
      <c r="H660" s="20"/>
      <c r="I660" s="20"/>
      <c r="R660" s="20"/>
    </row>
    <row r="661" spans="8:18" ht="15.75" customHeight="1">
      <c r="H661" s="20"/>
      <c r="I661" s="20"/>
      <c r="R661" s="20"/>
    </row>
    <row r="662" spans="8:18" ht="15.75" customHeight="1">
      <c r="H662" s="20"/>
      <c r="I662" s="20"/>
      <c r="R662" s="20"/>
    </row>
    <row r="663" spans="8:18" ht="15.75" customHeight="1">
      <c r="H663" s="20"/>
      <c r="I663" s="20"/>
      <c r="R663" s="20"/>
    </row>
    <row r="664" spans="8:18" ht="15.75" customHeight="1">
      <c r="H664" s="20"/>
      <c r="I664" s="20"/>
      <c r="R664" s="20"/>
    </row>
    <row r="665" spans="8:18" ht="15.75" customHeight="1">
      <c r="H665" s="20"/>
      <c r="I665" s="20"/>
      <c r="R665" s="20"/>
    </row>
    <row r="666" spans="8:18" ht="15.75" customHeight="1">
      <c r="H666" s="20"/>
      <c r="I666" s="20"/>
      <c r="R666" s="20"/>
    </row>
    <row r="667" spans="8:18" ht="15.75" customHeight="1">
      <c r="H667" s="20"/>
      <c r="I667" s="20"/>
      <c r="R667" s="20"/>
    </row>
    <row r="668" spans="8:18" ht="15.75" customHeight="1">
      <c r="H668" s="20"/>
      <c r="I668" s="20"/>
      <c r="R668" s="20"/>
    </row>
    <row r="669" spans="8:18" ht="15.75" customHeight="1">
      <c r="H669" s="20"/>
      <c r="I669" s="20"/>
      <c r="R669" s="20"/>
    </row>
    <row r="670" spans="8:18" ht="15.75" customHeight="1">
      <c r="H670" s="20"/>
      <c r="I670" s="20"/>
      <c r="R670" s="20"/>
    </row>
    <row r="671" spans="8:18" ht="15.75" customHeight="1">
      <c r="H671" s="20"/>
      <c r="I671" s="20"/>
      <c r="R671" s="20"/>
    </row>
    <row r="672" spans="8:18" ht="15.75" customHeight="1">
      <c r="H672" s="20"/>
      <c r="I672" s="20"/>
      <c r="R672" s="20"/>
    </row>
    <row r="673" spans="8:18" ht="15.75" customHeight="1">
      <c r="H673" s="20"/>
      <c r="I673" s="20"/>
      <c r="R673" s="20"/>
    </row>
    <row r="674" spans="8:18" ht="15.75" customHeight="1">
      <c r="H674" s="20"/>
      <c r="I674" s="20"/>
      <c r="R674" s="20"/>
    </row>
    <row r="675" spans="8:18" ht="15.75" customHeight="1">
      <c r="H675" s="20"/>
      <c r="I675" s="20"/>
      <c r="R675" s="20"/>
    </row>
    <row r="676" spans="8:18" ht="15.75" customHeight="1">
      <c r="H676" s="20"/>
      <c r="I676" s="20"/>
      <c r="R676" s="20"/>
    </row>
    <row r="677" spans="8:18" ht="15.75" customHeight="1">
      <c r="H677" s="20"/>
      <c r="I677" s="20"/>
      <c r="R677" s="20"/>
    </row>
    <row r="678" spans="8:18" ht="15.75" customHeight="1">
      <c r="H678" s="20"/>
      <c r="I678" s="20"/>
      <c r="R678" s="20"/>
    </row>
    <row r="679" spans="8:18" ht="15.75" customHeight="1">
      <c r="H679" s="20"/>
      <c r="I679" s="20"/>
      <c r="R679" s="20"/>
    </row>
    <row r="680" spans="8:18" ht="15.75" customHeight="1">
      <c r="H680" s="20"/>
      <c r="I680" s="20"/>
      <c r="R680" s="20"/>
    </row>
    <row r="681" spans="8:18" ht="15.75" customHeight="1">
      <c r="H681" s="20"/>
      <c r="I681" s="20"/>
      <c r="R681" s="20"/>
    </row>
    <row r="682" spans="8:18" ht="15.75" customHeight="1">
      <c r="H682" s="20"/>
      <c r="I682" s="20"/>
      <c r="R682" s="20"/>
    </row>
    <row r="683" spans="8:18" ht="15.75" customHeight="1">
      <c r="H683" s="20"/>
      <c r="I683" s="20"/>
      <c r="R683" s="20"/>
    </row>
    <row r="684" spans="8:18" ht="15.75" customHeight="1">
      <c r="H684" s="20"/>
      <c r="I684" s="20"/>
      <c r="R684" s="20"/>
    </row>
    <row r="685" spans="8:18" ht="15.75" customHeight="1">
      <c r="H685" s="20"/>
      <c r="I685" s="20"/>
      <c r="R685" s="20"/>
    </row>
    <row r="686" spans="8:18" ht="15.75" customHeight="1">
      <c r="H686" s="20"/>
      <c r="I686" s="20"/>
      <c r="R686" s="20"/>
    </row>
    <row r="687" spans="8:18" ht="15.75" customHeight="1">
      <c r="H687" s="20"/>
      <c r="I687" s="20"/>
      <c r="R687" s="20"/>
    </row>
    <row r="688" spans="8:18" ht="15.75" customHeight="1">
      <c r="H688" s="20"/>
      <c r="I688" s="20"/>
      <c r="R688" s="20"/>
    </row>
    <row r="689" spans="8:18" ht="15.75" customHeight="1">
      <c r="H689" s="20"/>
      <c r="I689" s="20"/>
      <c r="R689" s="20"/>
    </row>
    <row r="690" spans="8:18" ht="15.75" customHeight="1">
      <c r="H690" s="20"/>
      <c r="I690" s="20"/>
      <c r="R690" s="20"/>
    </row>
    <row r="691" spans="8:18" ht="15.75" customHeight="1">
      <c r="H691" s="20"/>
      <c r="I691" s="20"/>
      <c r="R691" s="20"/>
    </row>
    <row r="692" spans="8:18" ht="15.75" customHeight="1">
      <c r="H692" s="20"/>
      <c r="I692" s="20"/>
      <c r="R692" s="20"/>
    </row>
    <row r="693" spans="8:18" ht="15.75" customHeight="1">
      <c r="H693" s="20"/>
      <c r="I693" s="20"/>
      <c r="R693" s="20"/>
    </row>
    <row r="694" spans="8:18" ht="15.75" customHeight="1">
      <c r="H694" s="20"/>
      <c r="I694" s="20"/>
      <c r="R694" s="20"/>
    </row>
    <row r="695" spans="8:18" ht="15.75" customHeight="1">
      <c r="H695" s="20"/>
      <c r="I695" s="20"/>
      <c r="R695" s="20"/>
    </row>
    <row r="696" spans="8:18" ht="15.75" customHeight="1">
      <c r="H696" s="20"/>
      <c r="I696" s="20"/>
      <c r="R696" s="20"/>
    </row>
    <row r="697" spans="8:18" ht="15.75" customHeight="1">
      <c r="H697" s="20"/>
      <c r="I697" s="20"/>
      <c r="R697" s="20"/>
    </row>
    <row r="698" spans="8:18" ht="15.75" customHeight="1">
      <c r="H698" s="20"/>
      <c r="I698" s="20"/>
      <c r="R698" s="20"/>
    </row>
    <row r="699" spans="8:18" ht="15.75" customHeight="1">
      <c r="H699" s="20"/>
      <c r="I699" s="20"/>
      <c r="R699" s="20"/>
    </row>
    <row r="700" spans="8:18" ht="15.75" customHeight="1">
      <c r="H700" s="20"/>
      <c r="I700" s="20"/>
      <c r="R700" s="20"/>
    </row>
    <row r="701" spans="8:18" ht="15.75" customHeight="1">
      <c r="H701" s="20"/>
      <c r="I701" s="20"/>
      <c r="R701" s="20"/>
    </row>
    <row r="702" spans="8:18" ht="15.75" customHeight="1">
      <c r="H702" s="20"/>
      <c r="I702" s="20"/>
      <c r="R702" s="20"/>
    </row>
    <row r="703" spans="8:18" ht="15.75" customHeight="1">
      <c r="H703" s="20"/>
      <c r="I703" s="20"/>
      <c r="R703" s="20"/>
    </row>
    <row r="704" spans="8:18" ht="15.75" customHeight="1">
      <c r="H704" s="20"/>
      <c r="I704" s="20"/>
      <c r="R704" s="20"/>
    </row>
    <row r="705" spans="8:18" ht="15.75" customHeight="1">
      <c r="H705" s="20"/>
      <c r="I705" s="20"/>
      <c r="R705" s="20"/>
    </row>
    <row r="706" spans="8:18" ht="15.75" customHeight="1">
      <c r="H706" s="20"/>
      <c r="I706" s="20"/>
      <c r="R706" s="20"/>
    </row>
    <row r="707" spans="8:18" ht="15.75" customHeight="1">
      <c r="H707" s="20"/>
      <c r="I707" s="20"/>
      <c r="R707" s="20"/>
    </row>
    <row r="708" spans="8:18" ht="15.75" customHeight="1">
      <c r="H708" s="20"/>
      <c r="I708" s="20"/>
      <c r="R708" s="20"/>
    </row>
    <row r="709" spans="8:18" ht="15.75" customHeight="1">
      <c r="H709" s="20"/>
      <c r="I709" s="20"/>
      <c r="R709" s="20"/>
    </row>
    <row r="710" spans="8:18" ht="15.75" customHeight="1">
      <c r="H710" s="20"/>
      <c r="I710" s="20"/>
      <c r="R710" s="20"/>
    </row>
    <row r="711" spans="8:18" ht="15.75" customHeight="1">
      <c r="H711" s="20"/>
      <c r="I711" s="20"/>
      <c r="R711" s="20"/>
    </row>
    <row r="712" spans="8:18" ht="15.75" customHeight="1">
      <c r="H712" s="20"/>
      <c r="I712" s="20"/>
      <c r="R712" s="20"/>
    </row>
    <row r="713" spans="8:18" ht="15.75" customHeight="1">
      <c r="H713" s="20"/>
      <c r="I713" s="20"/>
      <c r="R713" s="20"/>
    </row>
    <row r="714" spans="8:18" ht="15.75" customHeight="1">
      <c r="H714" s="20"/>
      <c r="I714" s="20"/>
      <c r="R714" s="20"/>
    </row>
    <row r="715" spans="8:18" ht="15.75" customHeight="1">
      <c r="H715" s="20"/>
      <c r="I715" s="20"/>
      <c r="R715" s="20"/>
    </row>
    <row r="716" spans="8:18" ht="15.75" customHeight="1">
      <c r="H716" s="20"/>
      <c r="I716" s="20"/>
      <c r="R716" s="20"/>
    </row>
    <row r="717" spans="8:18" ht="15.75" customHeight="1">
      <c r="H717" s="20"/>
      <c r="I717" s="20"/>
      <c r="R717" s="20"/>
    </row>
    <row r="718" spans="8:18" ht="15.75" customHeight="1">
      <c r="H718" s="20"/>
      <c r="I718" s="20"/>
      <c r="R718" s="20"/>
    </row>
    <row r="719" spans="8:18" ht="15.75" customHeight="1">
      <c r="H719" s="20"/>
      <c r="I719" s="20"/>
      <c r="R719" s="20"/>
    </row>
    <row r="720" spans="8:18" ht="15.75" customHeight="1">
      <c r="H720" s="20"/>
      <c r="I720" s="20"/>
      <c r="R720" s="20"/>
    </row>
    <row r="721" spans="8:18" ht="15.75" customHeight="1">
      <c r="H721" s="20"/>
      <c r="I721" s="20"/>
      <c r="R721" s="20"/>
    </row>
    <row r="722" spans="8:18" ht="15.75" customHeight="1">
      <c r="H722" s="20"/>
      <c r="I722" s="20"/>
      <c r="R722" s="20"/>
    </row>
    <row r="723" spans="8:18" ht="15.75" customHeight="1">
      <c r="H723" s="20"/>
      <c r="I723" s="20"/>
      <c r="R723" s="20"/>
    </row>
    <row r="724" spans="8:18" ht="15.75" customHeight="1">
      <c r="H724" s="20"/>
      <c r="I724" s="20"/>
      <c r="R724" s="20"/>
    </row>
    <row r="725" spans="8:18" ht="15.75" customHeight="1">
      <c r="H725" s="20"/>
      <c r="I725" s="20"/>
      <c r="R725" s="20"/>
    </row>
    <row r="726" spans="8:18" ht="15.75" customHeight="1">
      <c r="H726" s="20"/>
      <c r="I726" s="20"/>
      <c r="R726" s="20"/>
    </row>
    <row r="727" spans="8:18" ht="15.75" customHeight="1">
      <c r="H727" s="20"/>
      <c r="I727" s="20"/>
      <c r="R727" s="20"/>
    </row>
    <row r="728" spans="8:18" ht="15.75" customHeight="1">
      <c r="H728" s="20"/>
      <c r="I728" s="20"/>
      <c r="R728" s="20"/>
    </row>
    <row r="729" spans="8:18" ht="15.75" customHeight="1">
      <c r="H729" s="20"/>
      <c r="I729" s="20"/>
      <c r="R729" s="20"/>
    </row>
    <row r="730" spans="8:18" ht="15.75" customHeight="1">
      <c r="H730" s="20"/>
      <c r="I730" s="20"/>
      <c r="R730" s="20"/>
    </row>
    <row r="731" spans="8:18" ht="15.75" customHeight="1">
      <c r="H731" s="20"/>
      <c r="I731" s="20"/>
      <c r="R731" s="20"/>
    </row>
    <row r="732" spans="8:18" ht="15.75" customHeight="1">
      <c r="H732" s="20"/>
      <c r="I732" s="20"/>
      <c r="R732" s="20"/>
    </row>
    <row r="733" spans="8:18" ht="15.75" customHeight="1">
      <c r="H733" s="20"/>
      <c r="I733" s="20"/>
      <c r="R733" s="20"/>
    </row>
    <row r="734" spans="8:18" ht="15.75" customHeight="1">
      <c r="H734" s="20"/>
      <c r="I734" s="20"/>
      <c r="R734" s="20"/>
    </row>
    <row r="735" spans="8:18" ht="15.75" customHeight="1">
      <c r="H735" s="20"/>
      <c r="I735" s="20"/>
      <c r="R735" s="20"/>
    </row>
    <row r="736" spans="8:18" ht="15.75" customHeight="1">
      <c r="H736" s="20"/>
      <c r="I736" s="20"/>
      <c r="R736" s="20"/>
    </row>
    <row r="737" spans="8:18" ht="15.75" customHeight="1">
      <c r="H737" s="20"/>
      <c r="I737" s="20"/>
      <c r="R737" s="20"/>
    </row>
    <row r="738" spans="8:18" ht="15.75" customHeight="1">
      <c r="H738" s="20"/>
      <c r="I738" s="20"/>
      <c r="R738" s="20"/>
    </row>
    <row r="739" spans="8:18" ht="15.75" customHeight="1">
      <c r="H739" s="20"/>
      <c r="I739" s="20"/>
      <c r="R739" s="20"/>
    </row>
    <row r="740" spans="8:18" ht="15.75" customHeight="1">
      <c r="H740" s="20"/>
      <c r="I740" s="20"/>
      <c r="R740" s="20"/>
    </row>
    <row r="741" spans="8:18" ht="15.75" customHeight="1">
      <c r="H741" s="20"/>
      <c r="I741" s="20"/>
      <c r="R741" s="20"/>
    </row>
    <row r="742" spans="8:18" ht="15.75" customHeight="1">
      <c r="H742" s="20"/>
      <c r="I742" s="20"/>
      <c r="R742" s="20"/>
    </row>
    <row r="743" spans="8:18" ht="15.75" customHeight="1">
      <c r="H743" s="20"/>
      <c r="I743" s="20"/>
      <c r="R743" s="20"/>
    </row>
    <row r="744" spans="8:18" ht="15.75" customHeight="1">
      <c r="H744" s="20"/>
      <c r="I744" s="20"/>
      <c r="R744" s="20"/>
    </row>
    <row r="745" spans="8:18" ht="15.75" customHeight="1">
      <c r="H745" s="20"/>
      <c r="I745" s="20"/>
      <c r="R745" s="20"/>
    </row>
    <row r="746" spans="8:18" ht="15.75" customHeight="1">
      <c r="H746" s="20"/>
      <c r="I746" s="20"/>
      <c r="R746" s="20"/>
    </row>
    <row r="747" spans="8:18" ht="15.75" customHeight="1">
      <c r="H747" s="20"/>
      <c r="I747" s="20"/>
      <c r="R747" s="20"/>
    </row>
    <row r="748" spans="8:18" ht="15.75" customHeight="1">
      <c r="H748" s="20"/>
      <c r="I748" s="20"/>
      <c r="R748" s="20"/>
    </row>
    <row r="749" spans="8:18" ht="15.75" customHeight="1">
      <c r="H749" s="20"/>
      <c r="I749" s="20"/>
      <c r="R749" s="20"/>
    </row>
    <row r="750" spans="8:18" ht="15.75" customHeight="1">
      <c r="H750" s="20"/>
      <c r="I750" s="20"/>
      <c r="R750" s="20"/>
    </row>
    <row r="751" spans="8:18" ht="15.75" customHeight="1">
      <c r="H751" s="20"/>
      <c r="I751" s="20"/>
      <c r="R751" s="20"/>
    </row>
    <row r="752" spans="8:18" ht="15.75" customHeight="1">
      <c r="H752" s="20"/>
      <c r="I752" s="20"/>
      <c r="R752" s="20"/>
    </row>
    <row r="753" spans="8:18" ht="15.75" customHeight="1">
      <c r="H753" s="20"/>
      <c r="I753" s="20"/>
      <c r="R753" s="20"/>
    </row>
    <row r="754" spans="8:18" ht="15.75" customHeight="1">
      <c r="H754" s="20"/>
      <c r="I754" s="20"/>
      <c r="R754" s="20"/>
    </row>
    <row r="755" spans="8:18" ht="15.75" customHeight="1">
      <c r="H755" s="20"/>
      <c r="I755" s="20"/>
      <c r="R755" s="20"/>
    </row>
    <row r="756" spans="8:18" ht="15.75" customHeight="1">
      <c r="H756" s="20"/>
      <c r="I756" s="20"/>
      <c r="R756" s="20"/>
    </row>
    <row r="757" spans="8:18" ht="15.75" customHeight="1">
      <c r="H757" s="20"/>
      <c r="I757" s="20"/>
      <c r="R757" s="20"/>
    </row>
    <row r="758" spans="8:18" ht="15.75" customHeight="1">
      <c r="H758" s="20"/>
      <c r="I758" s="20"/>
      <c r="R758" s="20"/>
    </row>
    <row r="759" spans="8:18" ht="15.75" customHeight="1">
      <c r="H759" s="20"/>
      <c r="I759" s="20"/>
      <c r="R759" s="20"/>
    </row>
    <row r="760" spans="8:18" ht="15.75" customHeight="1">
      <c r="H760" s="20"/>
      <c r="I760" s="20"/>
      <c r="R760" s="20"/>
    </row>
    <row r="761" spans="8:18" ht="15.75" customHeight="1">
      <c r="H761" s="20"/>
      <c r="I761" s="20"/>
      <c r="R761" s="20"/>
    </row>
    <row r="762" spans="8:18" ht="15.75" customHeight="1">
      <c r="H762" s="20"/>
      <c r="I762" s="20"/>
      <c r="R762" s="20"/>
    </row>
    <row r="763" spans="8:18" ht="15.75" customHeight="1">
      <c r="H763" s="20"/>
      <c r="I763" s="20"/>
      <c r="R763" s="20"/>
    </row>
    <row r="764" spans="8:18" ht="15.75" customHeight="1">
      <c r="H764" s="20"/>
      <c r="I764" s="20"/>
      <c r="R764" s="20"/>
    </row>
    <row r="765" spans="8:18" ht="15.75" customHeight="1">
      <c r="H765" s="20"/>
      <c r="I765" s="20"/>
      <c r="R765" s="20"/>
    </row>
    <row r="766" spans="8:18" ht="15.75" customHeight="1">
      <c r="H766" s="20"/>
      <c r="I766" s="20"/>
      <c r="R766" s="20"/>
    </row>
    <row r="767" spans="8:18" ht="15.75" customHeight="1">
      <c r="H767" s="20"/>
      <c r="I767" s="20"/>
      <c r="R767" s="20"/>
    </row>
    <row r="768" spans="8:18" ht="15.75" customHeight="1">
      <c r="H768" s="20"/>
      <c r="I768" s="20"/>
      <c r="R768" s="20"/>
    </row>
    <row r="769" spans="8:18" ht="15.75" customHeight="1">
      <c r="H769" s="20"/>
      <c r="I769" s="20"/>
      <c r="R769" s="20"/>
    </row>
    <row r="770" spans="8:18" ht="15.75" customHeight="1">
      <c r="H770" s="20"/>
      <c r="I770" s="20"/>
      <c r="R770" s="20"/>
    </row>
    <row r="771" spans="8:18" ht="15.75" customHeight="1">
      <c r="H771" s="20"/>
      <c r="I771" s="20"/>
      <c r="R771" s="20"/>
    </row>
    <row r="772" spans="8:18" ht="15.75" customHeight="1">
      <c r="H772" s="20"/>
      <c r="I772" s="20"/>
      <c r="R772" s="20"/>
    </row>
    <row r="773" spans="8:18" ht="15.75" customHeight="1">
      <c r="H773" s="20"/>
      <c r="I773" s="20"/>
      <c r="R773" s="20"/>
    </row>
    <row r="774" spans="8:18" ht="15.75" customHeight="1">
      <c r="H774" s="20"/>
      <c r="I774" s="20"/>
      <c r="R774" s="20"/>
    </row>
    <row r="775" spans="8:18" ht="15.75" customHeight="1">
      <c r="H775" s="20"/>
      <c r="I775" s="20"/>
      <c r="R775" s="20"/>
    </row>
    <row r="776" spans="8:18" ht="15.75" customHeight="1">
      <c r="H776" s="20"/>
      <c r="I776" s="20"/>
      <c r="R776" s="20"/>
    </row>
    <row r="777" spans="8:18" ht="15.75" customHeight="1">
      <c r="H777" s="20"/>
      <c r="I777" s="20"/>
      <c r="R777" s="20"/>
    </row>
    <row r="778" spans="8:18" ht="15.75" customHeight="1">
      <c r="H778" s="20"/>
      <c r="I778" s="20"/>
      <c r="R778" s="20"/>
    </row>
    <row r="779" spans="8:18" ht="15.75" customHeight="1">
      <c r="H779" s="20"/>
      <c r="I779" s="20"/>
      <c r="R779" s="20"/>
    </row>
    <row r="780" spans="8:18" ht="15.75" customHeight="1">
      <c r="H780" s="20"/>
      <c r="I780" s="20"/>
      <c r="R780" s="20"/>
    </row>
    <row r="781" spans="8:18" ht="15.75" customHeight="1">
      <c r="H781" s="20"/>
      <c r="I781" s="20"/>
      <c r="R781" s="20"/>
    </row>
    <row r="782" spans="8:18" ht="15.75" customHeight="1">
      <c r="H782" s="20"/>
      <c r="I782" s="20"/>
      <c r="R782" s="20"/>
    </row>
    <row r="783" spans="8:18" ht="15.75" customHeight="1">
      <c r="H783" s="20"/>
      <c r="I783" s="20"/>
      <c r="R783" s="20"/>
    </row>
    <row r="784" spans="8:18" ht="15.75" customHeight="1">
      <c r="H784" s="20"/>
      <c r="I784" s="20"/>
      <c r="R784" s="20"/>
    </row>
    <row r="785" spans="8:18" ht="15.75" customHeight="1">
      <c r="H785" s="20"/>
      <c r="I785" s="20"/>
      <c r="R785" s="20"/>
    </row>
    <row r="786" spans="8:18" ht="15.75" customHeight="1">
      <c r="H786" s="20"/>
      <c r="I786" s="20"/>
      <c r="R786" s="20"/>
    </row>
    <row r="787" spans="8:18" ht="15.75" customHeight="1">
      <c r="H787" s="20"/>
      <c r="I787" s="20"/>
      <c r="R787" s="20"/>
    </row>
    <row r="788" spans="8:18" ht="15.75" customHeight="1">
      <c r="H788" s="20"/>
      <c r="I788" s="20"/>
      <c r="R788" s="20"/>
    </row>
    <row r="789" spans="8:18" ht="15.75" customHeight="1">
      <c r="H789" s="20"/>
      <c r="I789" s="20"/>
      <c r="R789" s="20"/>
    </row>
    <row r="790" spans="8:18" ht="15.75" customHeight="1">
      <c r="H790" s="20"/>
      <c r="I790" s="20"/>
      <c r="R790" s="20"/>
    </row>
    <row r="791" spans="8:18" ht="15.75" customHeight="1">
      <c r="H791" s="20"/>
      <c r="I791" s="20"/>
      <c r="R791" s="20"/>
    </row>
    <row r="792" spans="8:18" ht="15.75" customHeight="1">
      <c r="H792" s="20"/>
      <c r="I792" s="20"/>
      <c r="R792" s="20"/>
    </row>
    <row r="793" spans="8:18" ht="15.75" customHeight="1">
      <c r="H793" s="20"/>
      <c r="I793" s="20"/>
      <c r="R793" s="20"/>
    </row>
    <row r="794" spans="8:18" ht="15.75" customHeight="1">
      <c r="H794" s="20"/>
      <c r="I794" s="20"/>
      <c r="R794" s="20"/>
    </row>
    <row r="795" spans="8:18" ht="15.75" customHeight="1">
      <c r="H795" s="20"/>
      <c r="I795" s="20"/>
      <c r="R795" s="20"/>
    </row>
    <row r="796" spans="8:18" ht="15.75" customHeight="1">
      <c r="H796" s="20"/>
      <c r="I796" s="20"/>
      <c r="R796" s="20"/>
    </row>
    <row r="797" spans="8:18" ht="15.75" customHeight="1">
      <c r="H797" s="20"/>
      <c r="I797" s="20"/>
      <c r="R797" s="20"/>
    </row>
    <row r="798" spans="8:18" ht="15.75" customHeight="1">
      <c r="H798" s="20"/>
      <c r="I798" s="20"/>
      <c r="R798" s="20"/>
    </row>
    <row r="799" spans="8:18" ht="15.75" customHeight="1">
      <c r="H799" s="20"/>
      <c r="I799" s="20"/>
      <c r="R799" s="20"/>
    </row>
    <row r="800" spans="8:18" ht="15.75" customHeight="1">
      <c r="H800" s="20"/>
      <c r="I800" s="20"/>
      <c r="R800" s="20"/>
    </row>
    <row r="801" spans="8:18" ht="15.75" customHeight="1">
      <c r="H801" s="20"/>
      <c r="I801" s="20"/>
      <c r="R801" s="20"/>
    </row>
    <row r="802" spans="8:18" ht="15.75" customHeight="1">
      <c r="H802" s="20"/>
      <c r="I802" s="20"/>
      <c r="R802" s="20"/>
    </row>
    <row r="803" spans="8:18" ht="15.75" customHeight="1">
      <c r="H803" s="20"/>
      <c r="I803" s="20"/>
      <c r="R803" s="20"/>
    </row>
    <row r="804" spans="8:18" ht="15.75" customHeight="1">
      <c r="H804" s="20"/>
      <c r="I804" s="20"/>
      <c r="R804" s="20"/>
    </row>
    <row r="805" spans="8:18" ht="15.75" customHeight="1">
      <c r="H805" s="20"/>
      <c r="I805" s="20"/>
      <c r="R805" s="20"/>
    </row>
    <row r="806" spans="8:18" ht="15.75" customHeight="1">
      <c r="H806" s="20"/>
      <c r="I806" s="20"/>
      <c r="R806" s="20"/>
    </row>
    <row r="807" spans="8:18" ht="15.75" customHeight="1">
      <c r="H807" s="20"/>
      <c r="I807" s="20"/>
      <c r="R807" s="20"/>
    </row>
    <row r="808" spans="8:18" ht="15.75" customHeight="1">
      <c r="H808" s="20"/>
      <c r="I808" s="20"/>
      <c r="R808" s="20"/>
    </row>
    <row r="809" spans="8:18" ht="15.75" customHeight="1">
      <c r="H809" s="20"/>
      <c r="I809" s="20"/>
      <c r="R809" s="20"/>
    </row>
    <row r="810" spans="8:18" ht="15.75" customHeight="1">
      <c r="H810" s="20"/>
      <c r="I810" s="20"/>
      <c r="R810" s="20"/>
    </row>
    <row r="811" spans="8:18" ht="15.75" customHeight="1">
      <c r="H811" s="20"/>
      <c r="I811" s="20"/>
      <c r="R811" s="20"/>
    </row>
    <row r="812" spans="8:18" ht="15.75" customHeight="1">
      <c r="H812" s="20"/>
      <c r="I812" s="20"/>
      <c r="R812" s="20"/>
    </row>
    <row r="813" spans="8:18" ht="15.75" customHeight="1">
      <c r="H813" s="20"/>
      <c r="I813" s="20"/>
      <c r="R813" s="20"/>
    </row>
    <row r="814" spans="8:18" ht="15.75" customHeight="1">
      <c r="H814" s="20"/>
      <c r="I814" s="20"/>
      <c r="R814" s="20"/>
    </row>
    <row r="815" spans="8:18" ht="15.75" customHeight="1">
      <c r="H815" s="20"/>
      <c r="I815" s="20"/>
      <c r="R815" s="20"/>
    </row>
    <row r="816" spans="8:18" ht="15.75" customHeight="1">
      <c r="H816" s="20"/>
      <c r="I816" s="20"/>
      <c r="R816" s="20"/>
    </row>
    <row r="817" spans="8:18" ht="15.75" customHeight="1">
      <c r="H817" s="20"/>
      <c r="I817" s="20"/>
      <c r="R817" s="20"/>
    </row>
    <row r="818" spans="8:18" ht="15.75" customHeight="1">
      <c r="H818" s="20"/>
      <c r="I818" s="20"/>
      <c r="R818" s="20"/>
    </row>
    <row r="819" spans="8:18" ht="15.75" customHeight="1">
      <c r="H819" s="20"/>
      <c r="I819" s="20"/>
      <c r="R819" s="20"/>
    </row>
    <row r="820" spans="8:18" ht="15.75" customHeight="1">
      <c r="H820" s="20"/>
      <c r="I820" s="20"/>
      <c r="R820" s="20"/>
    </row>
    <row r="821" spans="8:18" ht="15.75" customHeight="1">
      <c r="H821" s="20"/>
      <c r="I821" s="20"/>
      <c r="R821" s="20"/>
    </row>
    <row r="822" spans="8:18" ht="15.75" customHeight="1">
      <c r="H822" s="20"/>
      <c r="I822" s="20"/>
      <c r="R822" s="20"/>
    </row>
    <row r="823" spans="8:18" ht="15.75" customHeight="1">
      <c r="H823" s="20"/>
      <c r="I823" s="20"/>
      <c r="R823" s="20"/>
    </row>
    <row r="824" spans="8:18" ht="15.75" customHeight="1">
      <c r="H824" s="20"/>
      <c r="I824" s="20"/>
      <c r="R824" s="20"/>
    </row>
    <row r="825" spans="8:18" ht="15.75" customHeight="1">
      <c r="H825" s="20"/>
      <c r="I825" s="20"/>
      <c r="R825" s="20"/>
    </row>
    <row r="826" spans="8:18" ht="15.75" customHeight="1">
      <c r="H826" s="20"/>
      <c r="I826" s="20"/>
      <c r="R826" s="20"/>
    </row>
    <row r="827" spans="8:18" ht="15.75" customHeight="1">
      <c r="H827" s="20"/>
      <c r="I827" s="20"/>
      <c r="R827" s="20"/>
    </row>
    <row r="828" spans="8:18" ht="15.75" customHeight="1">
      <c r="H828" s="20"/>
      <c r="I828" s="20"/>
      <c r="R828" s="20"/>
    </row>
    <row r="829" spans="8:18" ht="15.75" customHeight="1">
      <c r="H829" s="20"/>
      <c r="I829" s="20"/>
      <c r="R829" s="20"/>
    </row>
    <row r="830" spans="8:18" ht="15.75" customHeight="1">
      <c r="H830" s="20"/>
      <c r="I830" s="20"/>
      <c r="R830" s="20"/>
    </row>
    <row r="831" spans="8:18" ht="15.75" customHeight="1">
      <c r="H831" s="20"/>
      <c r="I831" s="20"/>
      <c r="R831" s="20"/>
    </row>
    <row r="832" spans="8:18" ht="15.75" customHeight="1">
      <c r="H832" s="20"/>
      <c r="I832" s="20"/>
      <c r="R832" s="20"/>
    </row>
    <row r="833" spans="8:18" ht="15.75" customHeight="1">
      <c r="H833" s="20"/>
      <c r="I833" s="20"/>
      <c r="R833" s="20"/>
    </row>
    <row r="834" spans="8:18" ht="15.75" customHeight="1">
      <c r="H834" s="20"/>
      <c r="I834" s="20"/>
      <c r="R834" s="20"/>
    </row>
    <row r="835" spans="8:18" ht="15.75" customHeight="1">
      <c r="H835" s="20"/>
      <c r="I835" s="20"/>
      <c r="R835" s="20"/>
    </row>
    <row r="836" spans="8:18" ht="15.75" customHeight="1">
      <c r="H836" s="20"/>
      <c r="I836" s="20"/>
      <c r="R836" s="20"/>
    </row>
    <row r="837" spans="8:18" ht="15.75" customHeight="1">
      <c r="H837" s="20"/>
      <c r="I837" s="20"/>
      <c r="R837" s="20"/>
    </row>
    <row r="838" spans="8:18" ht="15.75" customHeight="1">
      <c r="H838" s="20"/>
      <c r="I838" s="20"/>
      <c r="R838" s="20"/>
    </row>
    <row r="839" spans="8:18" ht="15.75" customHeight="1">
      <c r="H839" s="20"/>
      <c r="I839" s="20"/>
      <c r="R839" s="20"/>
    </row>
    <row r="840" spans="8:18" ht="15.75" customHeight="1">
      <c r="H840" s="20"/>
      <c r="I840" s="20"/>
      <c r="R840" s="20"/>
    </row>
    <row r="841" spans="8:18" ht="15.75" customHeight="1">
      <c r="H841" s="20"/>
      <c r="I841" s="20"/>
      <c r="R841" s="20"/>
    </row>
    <row r="842" spans="8:18" ht="15.75" customHeight="1">
      <c r="H842" s="20"/>
      <c r="I842" s="20"/>
      <c r="R842" s="20"/>
    </row>
    <row r="843" spans="8:18" ht="15.75" customHeight="1">
      <c r="H843" s="20"/>
      <c r="I843" s="20"/>
      <c r="R843" s="20"/>
    </row>
    <row r="844" spans="8:18" ht="15.75" customHeight="1">
      <c r="H844" s="20"/>
      <c r="I844" s="20"/>
      <c r="R844" s="20"/>
    </row>
    <row r="845" spans="8:18" ht="15.75" customHeight="1">
      <c r="H845" s="20"/>
      <c r="I845" s="20"/>
      <c r="R845" s="20"/>
    </row>
    <row r="846" spans="8:18" ht="15.75" customHeight="1">
      <c r="H846" s="20"/>
      <c r="I846" s="20"/>
      <c r="R846" s="20"/>
    </row>
    <row r="847" spans="8:18" ht="15.75" customHeight="1">
      <c r="H847" s="20"/>
      <c r="I847" s="20"/>
      <c r="R847" s="20"/>
    </row>
    <row r="848" spans="8:18" ht="15.75" customHeight="1">
      <c r="H848" s="20"/>
      <c r="I848" s="20"/>
      <c r="R848" s="20"/>
    </row>
    <row r="849" spans="8:18" ht="15.75" customHeight="1">
      <c r="H849" s="20"/>
      <c r="I849" s="20"/>
      <c r="R849" s="20"/>
    </row>
    <row r="850" spans="8:18" ht="15.75" customHeight="1">
      <c r="H850" s="20"/>
      <c r="I850" s="20"/>
      <c r="R850" s="20"/>
    </row>
    <row r="851" spans="8:18" ht="15.75" customHeight="1">
      <c r="H851" s="20"/>
      <c r="I851" s="20"/>
      <c r="R851" s="20"/>
    </row>
    <row r="852" spans="8:18" ht="15.75" customHeight="1">
      <c r="H852" s="20"/>
      <c r="I852" s="20"/>
      <c r="R852" s="20"/>
    </row>
    <row r="853" spans="8:18" ht="15.75" customHeight="1">
      <c r="H853" s="20"/>
      <c r="I853" s="20"/>
      <c r="R853" s="20"/>
    </row>
    <row r="854" spans="8:18" ht="15.75" customHeight="1">
      <c r="H854" s="20"/>
      <c r="I854" s="20"/>
      <c r="R854" s="20"/>
    </row>
    <row r="855" spans="8:18" ht="15.75" customHeight="1">
      <c r="H855" s="20"/>
      <c r="I855" s="20"/>
      <c r="R855" s="20"/>
    </row>
    <row r="856" spans="8:18" ht="15.75" customHeight="1">
      <c r="H856" s="20"/>
      <c r="I856" s="20"/>
      <c r="R856" s="20"/>
    </row>
    <row r="857" spans="8:18" ht="15.75" customHeight="1">
      <c r="H857" s="20"/>
      <c r="I857" s="20"/>
      <c r="R857" s="20"/>
    </row>
    <row r="858" spans="8:18" ht="15.75" customHeight="1">
      <c r="H858" s="20"/>
      <c r="I858" s="20"/>
      <c r="R858" s="20"/>
    </row>
    <row r="859" spans="8:18" ht="15.75" customHeight="1">
      <c r="H859" s="20"/>
      <c r="I859" s="20"/>
      <c r="R859" s="20"/>
    </row>
    <row r="860" spans="8:18" ht="15.75" customHeight="1">
      <c r="H860" s="20"/>
      <c r="I860" s="20"/>
      <c r="R860" s="20"/>
    </row>
    <row r="861" spans="8:18" ht="15.75" customHeight="1">
      <c r="H861" s="20"/>
      <c r="I861" s="20"/>
      <c r="R861" s="20"/>
    </row>
    <row r="862" spans="8:18" ht="15.75" customHeight="1">
      <c r="H862" s="20"/>
      <c r="I862" s="20"/>
      <c r="R862" s="20"/>
    </row>
    <row r="863" spans="8:18" ht="15.75" customHeight="1">
      <c r="H863" s="20"/>
      <c r="I863" s="20"/>
      <c r="R863" s="20"/>
    </row>
    <row r="864" spans="8:18" ht="15.75" customHeight="1">
      <c r="H864" s="20"/>
      <c r="I864" s="20"/>
      <c r="R864" s="20"/>
    </row>
    <row r="865" spans="8:18" ht="15.75" customHeight="1">
      <c r="H865" s="20"/>
      <c r="I865" s="20"/>
      <c r="R865" s="20"/>
    </row>
    <row r="866" spans="8:18" ht="15.75" customHeight="1">
      <c r="H866" s="20"/>
      <c r="I866" s="20"/>
      <c r="R866" s="20"/>
    </row>
    <row r="867" spans="8:18" ht="15.75" customHeight="1">
      <c r="H867" s="20"/>
      <c r="I867" s="20"/>
      <c r="R867" s="20"/>
    </row>
    <row r="868" spans="8:18" ht="15.75" customHeight="1">
      <c r="H868" s="20"/>
      <c r="I868" s="20"/>
      <c r="R868" s="20"/>
    </row>
    <row r="869" spans="8:18" ht="15.75" customHeight="1">
      <c r="H869" s="20"/>
      <c r="I869" s="20"/>
      <c r="R869" s="20"/>
    </row>
    <row r="870" spans="8:18" ht="15.75" customHeight="1">
      <c r="H870" s="20"/>
      <c r="I870" s="20"/>
      <c r="R870" s="20"/>
    </row>
    <row r="871" spans="8:18" ht="15.75" customHeight="1">
      <c r="H871" s="20"/>
      <c r="I871" s="20"/>
      <c r="R871" s="20"/>
    </row>
    <row r="872" spans="8:18" ht="15.75" customHeight="1">
      <c r="H872" s="20"/>
      <c r="I872" s="20"/>
      <c r="R872" s="20"/>
    </row>
    <row r="873" spans="8:18" ht="15.75" customHeight="1">
      <c r="H873" s="20"/>
      <c r="I873" s="20"/>
      <c r="R873" s="20"/>
    </row>
    <row r="874" spans="8:18" ht="15.75" customHeight="1">
      <c r="H874" s="20"/>
      <c r="I874" s="20"/>
      <c r="R874" s="20"/>
    </row>
    <row r="875" spans="8:18" ht="15.75" customHeight="1">
      <c r="H875" s="20"/>
      <c r="I875" s="20"/>
      <c r="R875" s="20"/>
    </row>
    <row r="876" spans="8:18" ht="15.75" customHeight="1">
      <c r="H876" s="20"/>
      <c r="I876" s="20"/>
      <c r="R876" s="20"/>
    </row>
    <row r="877" spans="8:18" ht="15.75" customHeight="1">
      <c r="H877" s="20"/>
      <c r="I877" s="20"/>
      <c r="R877" s="20"/>
    </row>
    <row r="878" spans="8:18" ht="15.75" customHeight="1">
      <c r="H878" s="20"/>
      <c r="I878" s="20"/>
      <c r="R878" s="20"/>
    </row>
    <row r="879" spans="8:18" ht="15.75" customHeight="1">
      <c r="H879" s="20"/>
      <c r="I879" s="20"/>
      <c r="R879" s="20"/>
    </row>
    <row r="880" spans="8:18" ht="15.75" customHeight="1">
      <c r="H880" s="20"/>
      <c r="I880" s="20"/>
      <c r="R880" s="20"/>
    </row>
    <row r="881" spans="8:18" ht="15.75" customHeight="1">
      <c r="H881" s="20"/>
      <c r="I881" s="20"/>
      <c r="R881" s="20"/>
    </row>
    <row r="882" spans="8:18" ht="15.75" customHeight="1">
      <c r="H882" s="20"/>
      <c r="I882" s="20"/>
      <c r="R882" s="20"/>
    </row>
    <row r="883" spans="8:18" ht="15.75" customHeight="1">
      <c r="H883" s="20"/>
      <c r="I883" s="20"/>
      <c r="R883" s="20"/>
    </row>
    <row r="884" spans="8:18" ht="15.75" customHeight="1">
      <c r="H884" s="20"/>
      <c r="I884" s="20"/>
      <c r="R884" s="20"/>
    </row>
    <row r="885" spans="8:18" ht="15.75" customHeight="1">
      <c r="H885" s="20"/>
      <c r="I885" s="20"/>
      <c r="R885" s="20"/>
    </row>
    <row r="886" spans="8:18" ht="15.75" customHeight="1">
      <c r="H886" s="20"/>
      <c r="I886" s="20"/>
      <c r="R886" s="20"/>
    </row>
    <row r="887" spans="8:18" ht="15.75" customHeight="1">
      <c r="H887" s="20"/>
      <c r="I887" s="20"/>
      <c r="R887" s="20"/>
    </row>
    <row r="888" spans="8:18" ht="15.75" customHeight="1">
      <c r="H888" s="20"/>
      <c r="I888" s="20"/>
      <c r="R888" s="20"/>
    </row>
    <row r="889" spans="8:18" ht="15.75" customHeight="1">
      <c r="H889" s="20"/>
      <c r="I889" s="20"/>
      <c r="R889" s="20"/>
    </row>
    <row r="890" spans="8:18" ht="15.75" customHeight="1">
      <c r="H890" s="20"/>
      <c r="I890" s="20"/>
      <c r="R890" s="20"/>
    </row>
    <row r="891" spans="8:18" ht="15.75" customHeight="1">
      <c r="H891" s="20"/>
      <c r="I891" s="20"/>
      <c r="R891" s="20"/>
    </row>
    <row r="892" spans="8:18" ht="15.75" customHeight="1">
      <c r="H892" s="20"/>
      <c r="I892" s="20"/>
      <c r="R892" s="20"/>
    </row>
    <row r="893" spans="8:18" ht="15.75" customHeight="1">
      <c r="H893" s="20"/>
      <c r="I893" s="20"/>
      <c r="R893" s="20"/>
    </row>
    <row r="894" spans="8:18" ht="15.75" customHeight="1">
      <c r="H894" s="20"/>
      <c r="I894" s="20"/>
      <c r="R894" s="20"/>
    </row>
    <row r="895" spans="8:18" ht="15.75" customHeight="1">
      <c r="H895" s="20"/>
      <c r="I895" s="20"/>
      <c r="R895" s="20"/>
    </row>
    <row r="896" spans="8:18" ht="15.75" customHeight="1">
      <c r="H896" s="20"/>
      <c r="I896" s="20"/>
      <c r="R896" s="20"/>
    </row>
    <row r="897" spans="8:18" ht="15.75" customHeight="1">
      <c r="H897" s="20"/>
      <c r="I897" s="20"/>
      <c r="R897" s="20"/>
    </row>
    <row r="898" spans="8:18" ht="15.75" customHeight="1">
      <c r="H898" s="20"/>
      <c r="I898" s="20"/>
      <c r="R898" s="20"/>
    </row>
    <row r="899" spans="8:18" ht="15.75" customHeight="1">
      <c r="H899" s="20"/>
      <c r="I899" s="20"/>
      <c r="R899" s="20"/>
    </row>
    <row r="900" spans="8:18" ht="15.75" customHeight="1">
      <c r="H900" s="20"/>
      <c r="I900" s="20"/>
      <c r="R900" s="20"/>
    </row>
    <row r="901" spans="8:18" ht="15.75" customHeight="1">
      <c r="H901" s="20"/>
      <c r="I901" s="20"/>
      <c r="R901" s="20"/>
    </row>
    <row r="902" spans="8:18" ht="15.75" customHeight="1">
      <c r="H902" s="20"/>
      <c r="I902" s="20"/>
      <c r="R902" s="20"/>
    </row>
    <row r="903" spans="8:18" ht="15.75" customHeight="1">
      <c r="H903" s="20"/>
      <c r="I903" s="20"/>
      <c r="R903" s="20"/>
    </row>
    <row r="904" spans="8:18" ht="15.75" customHeight="1">
      <c r="H904" s="20"/>
      <c r="I904" s="20"/>
      <c r="R904" s="20"/>
    </row>
    <row r="905" spans="8:18" ht="15.75" customHeight="1">
      <c r="H905" s="20"/>
      <c r="I905" s="20"/>
      <c r="R905" s="20"/>
    </row>
    <row r="906" spans="8:18" ht="15.75" customHeight="1">
      <c r="H906" s="20"/>
      <c r="I906" s="20"/>
      <c r="R906" s="20"/>
    </row>
    <row r="907" spans="8:18" ht="15.75" customHeight="1">
      <c r="H907" s="20"/>
      <c r="I907" s="20"/>
      <c r="R907" s="20"/>
    </row>
    <row r="908" spans="8:18" ht="15.75" customHeight="1">
      <c r="H908" s="20"/>
      <c r="I908" s="20"/>
      <c r="R908" s="20"/>
    </row>
    <row r="909" spans="8:18" ht="15.75" customHeight="1">
      <c r="H909" s="20"/>
      <c r="I909" s="20"/>
      <c r="R909" s="20"/>
    </row>
    <row r="910" spans="8:18" ht="15.75" customHeight="1">
      <c r="H910" s="20"/>
      <c r="I910" s="20"/>
      <c r="R910" s="20"/>
    </row>
    <row r="911" spans="8:18" ht="15.75" customHeight="1">
      <c r="H911" s="20"/>
      <c r="I911" s="20"/>
      <c r="R911" s="20"/>
    </row>
    <row r="912" spans="8:18" ht="15.75" customHeight="1">
      <c r="H912" s="20"/>
      <c r="I912" s="20"/>
      <c r="R912" s="20"/>
    </row>
    <row r="913" spans="8:18" ht="15.75" customHeight="1">
      <c r="H913" s="20"/>
      <c r="I913" s="20"/>
      <c r="R913" s="20"/>
    </row>
    <row r="914" spans="8:18" ht="15.75" customHeight="1">
      <c r="H914" s="20"/>
      <c r="I914" s="20"/>
      <c r="R914" s="20"/>
    </row>
    <row r="915" spans="8:18" ht="15.75" customHeight="1">
      <c r="H915" s="20"/>
      <c r="I915" s="20"/>
      <c r="R915" s="20"/>
    </row>
    <row r="916" spans="8:18" ht="15.75" customHeight="1">
      <c r="H916" s="20"/>
      <c r="I916" s="20"/>
      <c r="R916" s="20"/>
    </row>
    <row r="917" spans="8:18" ht="15.75" customHeight="1">
      <c r="H917" s="20"/>
      <c r="I917" s="20"/>
      <c r="R917" s="20"/>
    </row>
    <row r="918" spans="8:18" ht="15.75" customHeight="1">
      <c r="H918" s="20"/>
      <c r="I918" s="20"/>
      <c r="R918" s="20"/>
    </row>
    <row r="919" spans="8:18" ht="15.75" customHeight="1">
      <c r="H919" s="20"/>
      <c r="I919" s="20"/>
      <c r="R919" s="20"/>
    </row>
    <row r="920" spans="8:18" ht="15.75" customHeight="1">
      <c r="H920" s="20"/>
      <c r="I920" s="20"/>
      <c r="R920" s="20"/>
    </row>
    <row r="921" spans="8:18" ht="15.75" customHeight="1">
      <c r="H921" s="20"/>
      <c r="I921" s="20"/>
      <c r="R921" s="20"/>
    </row>
    <row r="922" spans="8:18" ht="15.75" customHeight="1">
      <c r="H922" s="20"/>
      <c r="I922" s="20"/>
      <c r="R922" s="20"/>
    </row>
    <row r="923" spans="8:18" ht="15.75" customHeight="1">
      <c r="H923" s="20"/>
      <c r="I923" s="20"/>
      <c r="R923" s="20"/>
    </row>
    <row r="924" spans="8:18" ht="15.75" customHeight="1">
      <c r="H924" s="20"/>
      <c r="I924" s="20"/>
      <c r="R924" s="20"/>
    </row>
    <row r="925" spans="8:18" ht="15.75" customHeight="1">
      <c r="H925" s="20"/>
      <c r="I925" s="20"/>
      <c r="R925" s="20"/>
    </row>
    <row r="926" spans="8:18" ht="15.75" customHeight="1">
      <c r="H926" s="20"/>
      <c r="I926" s="20"/>
      <c r="R926" s="20"/>
    </row>
    <row r="927" spans="8:18" ht="15.75" customHeight="1">
      <c r="H927" s="20"/>
      <c r="I927" s="20"/>
      <c r="R927" s="20"/>
    </row>
    <row r="928" spans="8:18" ht="15.75" customHeight="1">
      <c r="H928" s="20"/>
      <c r="I928" s="20"/>
      <c r="R928" s="20"/>
    </row>
    <row r="929" spans="8:18" ht="15.75" customHeight="1">
      <c r="H929" s="20"/>
      <c r="I929" s="20"/>
      <c r="R929" s="20"/>
    </row>
    <row r="930" spans="8:18" ht="15.75" customHeight="1">
      <c r="H930" s="20"/>
      <c r="I930" s="20"/>
      <c r="R930" s="20"/>
    </row>
    <row r="931" spans="8:18" ht="15.75" customHeight="1">
      <c r="H931" s="20"/>
      <c r="I931" s="20"/>
      <c r="R931" s="20"/>
    </row>
    <row r="932" spans="8:18" ht="15.75" customHeight="1">
      <c r="H932" s="20"/>
      <c r="I932" s="20"/>
      <c r="R932" s="20"/>
    </row>
    <row r="933" spans="8:18" ht="15.75" customHeight="1">
      <c r="H933" s="20"/>
      <c r="I933" s="20"/>
      <c r="R933" s="20"/>
    </row>
    <row r="934" spans="8:18" ht="15.75" customHeight="1">
      <c r="H934" s="20"/>
      <c r="I934" s="20"/>
      <c r="R934" s="20"/>
    </row>
    <row r="935" spans="8:18" ht="15.75" customHeight="1">
      <c r="H935" s="20"/>
      <c r="I935" s="20"/>
      <c r="R935" s="20"/>
    </row>
    <row r="936" spans="8:18" ht="15.75" customHeight="1">
      <c r="H936" s="20"/>
      <c r="I936" s="20"/>
      <c r="R936" s="20"/>
    </row>
    <row r="937" spans="8:18" ht="15.75" customHeight="1">
      <c r="H937" s="20"/>
      <c r="I937" s="20"/>
      <c r="R937" s="20"/>
    </row>
    <row r="938" spans="8:18" ht="15.75" customHeight="1">
      <c r="H938" s="20"/>
      <c r="I938" s="20"/>
      <c r="R938" s="20"/>
    </row>
    <row r="939" spans="8:18" ht="15.75" customHeight="1">
      <c r="H939" s="20"/>
      <c r="I939" s="20"/>
      <c r="R939" s="20"/>
    </row>
    <row r="940" spans="8:18" ht="15.75" customHeight="1">
      <c r="H940" s="20"/>
      <c r="I940" s="20"/>
      <c r="R940" s="20"/>
    </row>
    <row r="941" spans="8:18" ht="15.75" customHeight="1">
      <c r="H941" s="20"/>
      <c r="I941" s="20"/>
      <c r="R941" s="20"/>
    </row>
    <row r="942" spans="8:18" ht="15.75" customHeight="1">
      <c r="H942" s="20"/>
      <c r="I942" s="20"/>
      <c r="R942" s="20"/>
    </row>
    <row r="943" spans="8:18" ht="15.75" customHeight="1">
      <c r="H943" s="20"/>
      <c r="I943" s="20"/>
      <c r="R943" s="20"/>
    </row>
    <row r="944" spans="8:18" ht="15.75" customHeight="1">
      <c r="H944" s="20"/>
      <c r="I944" s="20"/>
      <c r="R944" s="20"/>
    </row>
    <row r="945" spans="8:18" ht="15.75" customHeight="1">
      <c r="H945" s="20"/>
      <c r="I945" s="20"/>
      <c r="R945" s="20"/>
    </row>
    <row r="946" spans="8:18" ht="15.75" customHeight="1">
      <c r="H946" s="20"/>
      <c r="I946" s="20"/>
      <c r="R946" s="20"/>
    </row>
    <row r="947" spans="8:18" ht="15.75" customHeight="1">
      <c r="H947" s="20"/>
      <c r="I947" s="20"/>
      <c r="R947" s="20"/>
    </row>
    <row r="948" spans="8:18" ht="15.75" customHeight="1">
      <c r="H948" s="20"/>
      <c r="I948" s="20"/>
      <c r="R948" s="20"/>
    </row>
    <row r="949" spans="8:18" ht="15.75" customHeight="1">
      <c r="H949" s="20"/>
      <c r="I949" s="20"/>
      <c r="R949" s="20"/>
    </row>
    <row r="950" spans="8:18" ht="15.75" customHeight="1">
      <c r="H950" s="20"/>
      <c r="I950" s="20"/>
      <c r="R950" s="20"/>
    </row>
    <row r="951" spans="8:18" ht="15.75" customHeight="1">
      <c r="H951" s="20"/>
      <c r="I951" s="20"/>
      <c r="R951" s="20"/>
    </row>
    <row r="952" spans="8:18" ht="15.75" customHeight="1">
      <c r="H952" s="20"/>
      <c r="I952" s="20"/>
      <c r="R952" s="20"/>
    </row>
    <row r="953" spans="8:18" ht="15.75" customHeight="1">
      <c r="H953" s="20"/>
      <c r="I953" s="20"/>
      <c r="R953" s="20"/>
    </row>
    <row r="954" spans="8:18" ht="15.75" customHeight="1">
      <c r="H954" s="20"/>
      <c r="I954" s="20"/>
      <c r="R954" s="20"/>
    </row>
    <row r="955" spans="8:18" ht="15.75" customHeight="1">
      <c r="H955" s="20"/>
      <c r="I955" s="20"/>
      <c r="R955" s="20"/>
    </row>
    <row r="956" spans="8:18" ht="15.75" customHeight="1">
      <c r="H956" s="20"/>
      <c r="I956" s="20"/>
      <c r="R956" s="20"/>
    </row>
    <row r="957" spans="8:18" ht="15.75" customHeight="1">
      <c r="H957" s="20"/>
      <c r="I957" s="20"/>
      <c r="R957" s="20"/>
    </row>
    <row r="958" spans="8:18" ht="15.75" customHeight="1">
      <c r="H958" s="20"/>
      <c r="I958" s="20"/>
      <c r="R958" s="20"/>
    </row>
    <row r="959" spans="8:18" ht="15.75" customHeight="1">
      <c r="H959" s="20"/>
      <c r="I959" s="20"/>
      <c r="R959" s="20"/>
    </row>
    <row r="960" spans="8:18" ht="15.75" customHeight="1">
      <c r="H960" s="20"/>
      <c r="I960" s="20"/>
      <c r="R960" s="20"/>
    </row>
    <row r="961" spans="8:18" ht="15.75" customHeight="1">
      <c r="H961" s="20"/>
      <c r="I961" s="20"/>
      <c r="R961" s="20"/>
    </row>
    <row r="962" spans="8:18" ht="15.75" customHeight="1">
      <c r="H962" s="20"/>
      <c r="I962" s="20"/>
      <c r="R962" s="20"/>
    </row>
    <row r="963" spans="8:18" ht="15.75" customHeight="1">
      <c r="H963" s="20"/>
      <c r="I963" s="20"/>
      <c r="R963" s="20"/>
    </row>
    <row r="964" spans="8:18" ht="15.75" customHeight="1">
      <c r="H964" s="20"/>
      <c r="I964" s="20"/>
      <c r="R964" s="20"/>
    </row>
    <row r="965" spans="8:18" ht="15.75" customHeight="1">
      <c r="H965" s="20"/>
      <c r="I965" s="20"/>
      <c r="R965" s="20"/>
    </row>
    <row r="966" spans="8:18" ht="15.75" customHeight="1">
      <c r="H966" s="20"/>
      <c r="I966" s="20"/>
      <c r="R966" s="20"/>
    </row>
    <row r="967" spans="8:18" ht="15.75" customHeight="1">
      <c r="H967" s="20"/>
      <c r="I967" s="20"/>
      <c r="R967" s="20"/>
    </row>
  </sheetData>
  <autoFilter ref="A8:R8">
    <filterColumn colId="5"/>
    <filterColumn colId="11"/>
    <filterColumn colId="14"/>
  </autoFilter>
  <mergeCells count="13">
    <mergeCell ref="A2:S2"/>
    <mergeCell ref="A1:S1"/>
    <mergeCell ref="A3:S3"/>
    <mergeCell ref="A9:R9"/>
    <mergeCell ref="A4:E4"/>
    <mergeCell ref="G4:K4"/>
    <mergeCell ref="A5:E5"/>
    <mergeCell ref="G5:K5"/>
    <mergeCell ref="L5:P5"/>
    <mergeCell ref="L4:P4"/>
    <mergeCell ref="Q4:S4"/>
    <mergeCell ref="Q5:S5"/>
    <mergeCell ref="A7:S7"/>
  </mergeCells>
  <conditionalFormatting sqref="R23:R967">
    <cfRule type="expression" dxfId="21" priority="11">
      <formula>R23&gt;0</formula>
    </cfRule>
  </conditionalFormatting>
  <conditionalFormatting sqref="R23:R967">
    <cfRule type="expression" dxfId="20" priority="12">
      <formula>R23&lt;=0</formula>
    </cfRule>
  </conditionalFormatting>
  <conditionalFormatting sqref="L11:L19">
    <cfRule type="expression" dxfId="19" priority="9">
      <formula>$O11="Overdue"</formula>
    </cfRule>
  </conditionalFormatting>
  <conditionalFormatting sqref="Q11:R19">
    <cfRule type="expression" dxfId="18" priority="7">
      <formula>Q11&lt;=0</formula>
    </cfRule>
    <cfRule type="expression" dxfId="17" priority="8">
      <formula>Q11&gt;0</formula>
    </cfRule>
  </conditionalFormatting>
  <dataValidations xWindow="1229" yWindow="766" count="4">
    <dataValidation type="decimal" operator="greaterThan" allowBlank="1" showInputMessage="1" showErrorMessage="1" prompt="Invalid Amount - Must be positive number" sqref="H23:H967 H11:H19">
      <formula1>0</formula1>
    </dataValidation>
    <dataValidation type="list" allowBlank="1" showInputMessage="1" showErrorMessage="1" prompt="Invalid - Select from dropdown" sqref="I23:I967 I11:I19">
      <formula1>"Bank Transfer,Cash,Cheque,Online Transfer,Pay Order"</formula1>
    </dataValidation>
    <dataValidation type="list" showErrorMessage="1" sqref="F11:F19">
      <formula1>"Membership Fee,Confirmation,Allocation,Start of Work,Installment,Possession,Extra Charges,Other"</formula1>
    </dataValidation>
    <dataValidation type="list" allowBlank="1" showInputMessage="1" showErrorMessage="1" prompt="Invalid - Select payment source" sqref="J11:J16">
      <formula1>"Meezan Bank,HBL,Cash,Other Bank"</formula1>
    </dataValidation>
  </dataValidations>
  <pageMargins left="0.5" right="0.5" top="0.75" bottom="0.75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1004"/>
  <sheetViews>
    <sheetView showGridLines="0" workbookViewId="0">
      <selection activeCell="M25" sqref="M25"/>
    </sheetView>
  </sheetViews>
  <sheetFormatPr defaultColWidth="14.42578125" defaultRowHeight="15" customHeight="1"/>
  <cols>
    <col min="1" max="1" width="22" customWidth="1"/>
    <col min="2" max="2" width="14" customWidth="1"/>
    <col min="3" max="4" width="18" customWidth="1"/>
    <col min="5" max="5" width="20" customWidth="1"/>
    <col min="6" max="6" width="12" customWidth="1"/>
    <col min="7" max="7" width="14" customWidth="1"/>
    <col min="8" max="26" width="8.7109375" customWidth="1"/>
  </cols>
  <sheetData>
    <row r="1" spans="1:20" ht="37.5" customHeight="1">
      <c r="A1" s="132" t="s">
        <v>406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20" ht="18" customHeight="1">
      <c r="A2" s="133" t="s">
        <v>394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20" ht="21.75" customHeight="1">
      <c r="A3" s="243" t="s">
        <v>407</v>
      </c>
      <c r="B3" s="124"/>
      <c r="C3" s="124"/>
      <c r="D3" s="124"/>
      <c r="E3" s="124"/>
      <c r="F3" s="124"/>
      <c r="G3" s="124"/>
      <c r="H3" s="124"/>
      <c r="I3" s="125"/>
    </row>
    <row r="4" spans="1:20" ht="28.5" customHeight="1">
      <c r="A4" s="136" t="s">
        <v>408</v>
      </c>
      <c r="B4" s="124"/>
      <c r="C4" s="124"/>
      <c r="D4" s="124"/>
      <c r="E4" s="124"/>
      <c r="F4" s="124"/>
      <c r="G4" s="124"/>
      <c r="H4" s="124"/>
      <c r="I4" s="125"/>
      <c r="N4" s="261" t="s">
        <v>434</v>
      </c>
      <c r="O4" s="262"/>
      <c r="P4" s="262"/>
      <c r="Q4" s="262"/>
      <c r="R4" s="262"/>
      <c r="S4" s="262"/>
      <c r="T4" s="262"/>
    </row>
    <row r="5" spans="1:20" ht="21.75" customHeight="1">
      <c r="A5" s="1" t="s">
        <v>409</v>
      </c>
      <c r="B5" s="1" t="s">
        <v>410</v>
      </c>
      <c r="C5" s="1" t="s">
        <v>411</v>
      </c>
      <c r="D5" s="1" t="s">
        <v>859</v>
      </c>
      <c r="E5" s="1" t="s">
        <v>412</v>
      </c>
      <c r="F5" s="1" t="s">
        <v>105</v>
      </c>
      <c r="N5" s="248" t="s">
        <v>435</v>
      </c>
      <c r="O5" s="124"/>
      <c r="P5" s="125"/>
      <c r="Q5" s="29">
        <v>0</v>
      </c>
    </row>
    <row r="6" spans="1:20" ht="19.5" customHeight="1">
      <c r="A6" s="17" t="s">
        <v>136</v>
      </c>
      <c r="B6" s="19">
        <v>0</v>
      </c>
      <c r="C6" s="3">
        <f>IFERROR(SUMIF('💳 PAYMENTS Entery'!J:J,"Meezan Bank",'💳 PAYMENTS Entery'!H:H),0)</f>
        <v>385000</v>
      </c>
      <c r="D6" s="3">
        <f>IFERROR(SUMIF('🧾 EXPENSES ← Enter Here'!H:H,"Meezan Bank",'🧾 EXPENSES ← Enter Here'!J:J),0)</f>
        <v>0</v>
      </c>
      <c r="E6" s="3">
        <f t="shared" ref="E6" si="0">B6+C6-D6</f>
        <v>385000</v>
      </c>
      <c r="F6" s="17" t="s">
        <v>413</v>
      </c>
      <c r="N6" s="226" t="s">
        <v>436</v>
      </c>
      <c r="O6" s="124"/>
      <c r="P6" s="125"/>
      <c r="Q6" s="29">
        <f>IFERROR(SUMIF('💳 PAYMENTS Entery'!V:V,"Cash",'💳 PAYMENTS Entery'!U:U),0)</f>
        <v>0</v>
      </c>
    </row>
    <row r="7" spans="1:20" ht="19.5" customHeight="1">
      <c r="A7" s="22" t="s">
        <v>140</v>
      </c>
      <c r="B7" s="23">
        <v>0</v>
      </c>
      <c r="C7" s="6">
        <f>IFERROR(SUMIF('💳 PAYMENTS Entery'!J:J,"HBL",'💳 PAYMENTS Entery'!H:H),0)</f>
        <v>300000</v>
      </c>
      <c r="D7" s="6">
        <f>IFERROR(SUMIF('🧾 EXPENSES ← Enter Here'!H:H,"HBL",'🧾 EXPENSES ← Enter Here'!J:J),0)</f>
        <v>4000000</v>
      </c>
      <c r="E7" s="6">
        <f>B7+C7-D7</f>
        <v>-3700000</v>
      </c>
      <c r="F7" s="22" t="s">
        <v>413</v>
      </c>
      <c r="N7" s="245" t="s">
        <v>437</v>
      </c>
      <c r="O7" s="124"/>
      <c r="P7" s="125"/>
      <c r="Q7" s="29">
        <f>IFERROR(SUMIF('🧾 EXPENSES ← Enter Here'!U:U,"Cash",'🧾 EXPENSES ← Enter Here'!W:W),0)</f>
        <v>0</v>
      </c>
    </row>
    <row r="8" spans="1:20" ht="19.5" customHeight="1">
      <c r="A8" s="22" t="s">
        <v>858</v>
      </c>
      <c r="B8" s="23">
        <v>0</v>
      </c>
      <c r="C8" s="6">
        <f>IFERROR(SUMIF('💳 PAYMENTS Entery'!J:J,"CASH",'💳 PAYMENTS Entery'!H:H),0)</f>
        <v>1895000</v>
      </c>
      <c r="D8" s="6">
        <f>IFERROR(SUMIF('🧾 EXPENSES ← Enter Here'!H:H,"CASH",'🧾 EXPENSES ← Enter Here'!J:J),0)</f>
        <v>60000</v>
      </c>
      <c r="E8" s="6">
        <f>B8+C8-D8</f>
        <v>1835000</v>
      </c>
      <c r="F8" s="22" t="s">
        <v>413</v>
      </c>
      <c r="N8" s="246" t="s">
        <v>438</v>
      </c>
      <c r="O8" s="124"/>
      <c r="P8" s="125"/>
      <c r="Q8" s="30">
        <f>Q5+Q6-Q7</f>
        <v>0</v>
      </c>
    </row>
    <row r="9" spans="1:20" ht="19.5" customHeight="1">
      <c r="A9" s="22" t="s">
        <v>51</v>
      </c>
      <c r="B9" s="23">
        <v>0</v>
      </c>
      <c r="C9" s="6">
        <f>IFERROR(SUMIF('💳 PAYMENTS Entery'!J:J,"Other",'💳 PAYMENTS Entery'!H:H),0)</f>
        <v>0</v>
      </c>
      <c r="D9" s="6">
        <f>IFERROR(SUMIF('🧾 EXPENSES ← Enter Here'!H:H,"other",'🧾 EXPENSES ← Enter Here'!J:J),0)</f>
        <v>0</v>
      </c>
      <c r="E9" s="6">
        <f>B9+C9-D9</f>
        <v>0</v>
      </c>
      <c r="F9" s="22" t="s">
        <v>413</v>
      </c>
    </row>
    <row r="10" spans="1:20" ht="19.5" customHeight="1">
      <c r="A10" s="258"/>
      <c r="B10" s="259"/>
      <c r="C10" s="260"/>
      <c r="D10" s="260"/>
      <c r="E10" s="260"/>
      <c r="F10" s="258"/>
    </row>
    <row r="12" spans="1:20" ht="27.75" customHeight="1">
      <c r="A12" s="244" t="s">
        <v>414</v>
      </c>
      <c r="B12" s="124"/>
      <c r="C12" s="124"/>
      <c r="D12" s="125"/>
      <c r="E12" s="28">
        <f>SUM(E6:E7)</f>
        <v>-3315000</v>
      </c>
    </row>
    <row r="13" spans="1:20" ht="27.75" customHeight="1">
      <c r="A13" s="244" t="s">
        <v>860</v>
      </c>
      <c r="B13" s="124"/>
      <c r="C13" s="124"/>
      <c r="D13" s="125"/>
      <c r="E13" s="28">
        <f>E8</f>
        <v>1835000</v>
      </c>
    </row>
    <row r="15" spans="1:20" ht="21.75" customHeight="1">
      <c r="A15" s="242" t="s">
        <v>415</v>
      </c>
      <c r="B15" s="124"/>
      <c r="C15" s="124"/>
      <c r="D15" s="124"/>
      <c r="E15" s="124"/>
      <c r="F15" s="124"/>
      <c r="G15" s="124"/>
      <c r="H15" s="124"/>
      <c r="I15" s="125"/>
    </row>
    <row r="16" spans="1:20" ht="21.75" customHeight="1">
      <c r="A16" s="1" t="s">
        <v>416</v>
      </c>
      <c r="B16" s="1" t="s">
        <v>417</v>
      </c>
      <c r="C16" s="1" t="s">
        <v>418</v>
      </c>
      <c r="D16" s="1" t="s">
        <v>419</v>
      </c>
      <c r="E16" s="1" t="s">
        <v>420</v>
      </c>
      <c r="F16" s="1" t="s">
        <v>389</v>
      </c>
      <c r="G16" s="1" t="s">
        <v>421</v>
      </c>
    </row>
    <row r="17" spans="1:7" ht="19.5" customHeight="1">
      <c r="A17" s="18" t="s">
        <v>422</v>
      </c>
      <c r="B17" s="17" t="s">
        <v>423</v>
      </c>
      <c r="C17" s="17" t="s">
        <v>424</v>
      </c>
      <c r="D17" s="19">
        <v>50000000</v>
      </c>
      <c r="E17" s="19">
        <v>0</v>
      </c>
      <c r="F17" s="3">
        <f>D17-E17</f>
        <v>50000000</v>
      </c>
      <c r="G17" s="17" t="s">
        <v>425</v>
      </c>
    </row>
    <row r="18" spans="1:7" ht="19.5" customHeight="1">
      <c r="A18" s="26" t="s">
        <v>282</v>
      </c>
      <c r="B18" s="22" t="s">
        <v>426</v>
      </c>
      <c r="C18" s="22" t="s">
        <v>427</v>
      </c>
      <c r="D18" s="23">
        <v>500000</v>
      </c>
      <c r="E18" s="23">
        <v>0</v>
      </c>
      <c r="F18" s="6">
        <f t="shared" ref="F18:F19" si="1">F17+D18-E18</f>
        <v>50500000</v>
      </c>
      <c r="G18" s="22" t="s">
        <v>428</v>
      </c>
    </row>
    <row r="19" spans="1:7" ht="19.5" customHeight="1">
      <c r="A19" s="18" t="s">
        <v>305</v>
      </c>
      <c r="B19" s="17" t="s">
        <v>429</v>
      </c>
      <c r="C19" s="17" t="s">
        <v>430</v>
      </c>
      <c r="D19" s="19">
        <v>0</v>
      </c>
      <c r="E19" s="19">
        <v>250000</v>
      </c>
      <c r="F19" s="3">
        <f t="shared" si="1"/>
        <v>50250000</v>
      </c>
      <c r="G19" s="17" t="s">
        <v>431</v>
      </c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A15:I15"/>
    <mergeCell ref="A1:R1"/>
    <mergeCell ref="A2:R2"/>
    <mergeCell ref="A3:I3"/>
    <mergeCell ref="A4:I4"/>
    <mergeCell ref="A12:D12"/>
    <mergeCell ref="A13:D13"/>
    <mergeCell ref="N5:P5"/>
    <mergeCell ref="N6:P6"/>
    <mergeCell ref="N7:P7"/>
    <mergeCell ref="N8:P8"/>
    <mergeCell ref="N4:T4"/>
  </mergeCells>
  <conditionalFormatting sqref="E6:E11">
    <cfRule type="expression" dxfId="0" priority="1">
      <formula>E6&lt;0</formula>
    </cfRule>
  </conditionalFormatting>
  <pageMargins left="0.5" right="0.5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selection activeCell="K20" sqref="K20"/>
    </sheetView>
  </sheetViews>
  <sheetFormatPr defaultColWidth="14.42578125" defaultRowHeight="15" customHeight="1"/>
  <cols>
    <col min="1" max="1" width="18" customWidth="1"/>
    <col min="2" max="2" width="12" customWidth="1"/>
    <col min="3" max="3" width="14" customWidth="1"/>
    <col min="4" max="4" width="20" customWidth="1"/>
    <col min="5" max="26" width="8.7109375" customWidth="1"/>
  </cols>
  <sheetData>
    <row r="1" spans="1:18" ht="37.5" customHeight="1">
      <c r="A1" s="132" t="s">
        <v>432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247" t="s">
        <v>434</v>
      </c>
      <c r="B3" s="124"/>
      <c r="C3" s="124"/>
      <c r="D3" s="125"/>
    </row>
    <row r="4" spans="1:18" ht="24" customHeight="1">
      <c r="A4" s="248" t="s">
        <v>435</v>
      </c>
      <c r="B4" s="124"/>
      <c r="C4" s="125"/>
      <c r="D4" s="29">
        <v>0</v>
      </c>
    </row>
    <row r="5" spans="1:18" ht="24" customHeight="1">
      <c r="A5" s="226" t="s">
        <v>436</v>
      </c>
      <c r="B5" s="124"/>
      <c r="C5" s="125"/>
      <c r="D5" s="29">
        <f>IFERROR(SUMIF('💳 PAYMENTS Entery'!I:I,"Cash",'💳 PAYMENTS Entery'!H:H),0)</f>
        <v>1895000</v>
      </c>
    </row>
    <row r="6" spans="1:18" ht="24" customHeight="1">
      <c r="A6" s="245" t="s">
        <v>437</v>
      </c>
      <c r="B6" s="124"/>
      <c r="C6" s="125"/>
      <c r="D6" s="29">
        <f>IFERROR(SUMIF('🧾 EXPENSES ← Enter Here'!H:H,"Cash",'🧾 EXPENSES ← Enter Here'!J:J),0)</f>
        <v>60000</v>
      </c>
    </row>
    <row r="7" spans="1:18" ht="31.5" customHeight="1">
      <c r="A7" s="246" t="s">
        <v>438</v>
      </c>
      <c r="B7" s="124"/>
      <c r="C7" s="125"/>
      <c r="D7" s="30">
        <f>D4+D5-D6</f>
        <v>1835000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C6"/>
    <mergeCell ref="A7:C7"/>
    <mergeCell ref="A1:R1"/>
    <mergeCell ref="A2:R2"/>
    <mergeCell ref="A3:D3"/>
    <mergeCell ref="A4:C4"/>
    <mergeCell ref="A5:C5"/>
  </mergeCells>
  <pageMargins left="0.5" right="0.5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pane ySplit="8" topLeftCell="A9" activePane="bottomLeft" state="frozen"/>
      <selection pane="bottomLeft" activeCell="G21" sqref="G21"/>
    </sheetView>
  </sheetViews>
  <sheetFormatPr defaultColWidth="14.42578125" defaultRowHeight="15" customHeight="1"/>
  <cols>
    <col min="1" max="1" width="10" customWidth="1"/>
    <col min="2" max="2" width="12" customWidth="1"/>
    <col min="3" max="3" width="10" customWidth="1"/>
    <col min="4" max="4" width="26" customWidth="1"/>
    <col min="5" max="5" width="36" customWidth="1"/>
    <col min="6" max="6" width="12" customWidth="1"/>
    <col min="7" max="9" width="16" customWidth="1"/>
    <col min="10" max="10" width="18" customWidth="1"/>
    <col min="11" max="11" width="14" customWidth="1"/>
    <col min="12" max="26" width="8.7109375" customWidth="1"/>
  </cols>
  <sheetData>
    <row r="1" spans="1:18" ht="37.5" customHeight="1">
      <c r="A1" s="132" t="s">
        <v>439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394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243" t="s">
        <v>440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5"/>
    </row>
    <row r="4" spans="1:18" ht="19.5" customHeight="1">
      <c r="A4" s="145" t="s">
        <v>441</v>
      </c>
      <c r="B4" s="124"/>
      <c r="C4" s="124"/>
      <c r="D4" s="125"/>
      <c r="E4" s="145" t="s">
        <v>442</v>
      </c>
      <c r="F4" s="124"/>
      <c r="G4" s="124"/>
      <c r="H4" s="125"/>
      <c r="I4" s="144" t="s">
        <v>443</v>
      </c>
      <c r="J4" s="124"/>
      <c r="K4" s="124"/>
      <c r="L4" s="124"/>
      <c r="M4" s="124"/>
      <c r="N4" s="125"/>
    </row>
    <row r="5" spans="1:18" ht="36" customHeight="1">
      <c r="A5" s="183">
        <f>SUM(H8:H50000)</f>
        <v>101850000</v>
      </c>
      <c r="B5" s="124"/>
      <c r="C5" s="124"/>
      <c r="D5" s="125"/>
      <c r="E5" s="183">
        <f>SUM(I8:I50000)</f>
        <v>101950000</v>
      </c>
      <c r="F5" s="124"/>
      <c r="G5" s="124"/>
      <c r="H5" s="125"/>
      <c r="I5" s="249" t="str">
        <f>IF(ABS(D5-H5)&lt;1,"BALANCED","OUT OF BALANCE")</f>
        <v>BALANCED</v>
      </c>
      <c r="J5" s="124"/>
      <c r="K5" s="124"/>
      <c r="L5" s="124"/>
      <c r="M5" s="124"/>
      <c r="N5" s="125"/>
    </row>
    <row r="7" spans="1:18" ht="21.75" customHeight="1">
      <c r="A7" s="250" t="s">
        <v>444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5"/>
    </row>
    <row r="8" spans="1:18" ht="24" customHeight="1">
      <c r="A8" s="1" t="s">
        <v>445</v>
      </c>
      <c r="B8" s="1" t="s">
        <v>416</v>
      </c>
      <c r="C8" s="1" t="s">
        <v>446</v>
      </c>
      <c r="D8" s="1" t="s">
        <v>447</v>
      </c>
      <c r="E8" s="1" t="s">
        <v>417</v>
      </c>
      <c r="F8" s="1" t="s">
        <v>421</v>
      </c>
      <c r="G8" s="1" t="s">
        <v>418</v>
      </c>
      <c r="H8" s="1" t="s">
        <v>448</v>
      </c>
      <c r="I8" s="1" t="s">
        <v>449</v>
      </c>
      <c r="J8" s="1" t="s">
        <v>389</v>
      </c>
      <c r="K8" s="1" t="s">
        <v>450</v>
      </c>
    </row>
    <row r="9" spans="1:18" ht="19.5" customHeight="1">
      <c r="A9" s="17" t="s">
        <v>451</v>
      </c>
      <c r="B9" s="18" t="s">
        <v>422</v>
      </c>
      <c r="C9" s="17" t="s">
        <v>452</v>
      </c>
      <c r="D9" s="17" t="s">
        <v>453</v>
      </c>
      <c r="E9" s="17" t="s">
        <v>454</v>
      </c>
      <c r="F9" s="17" t="s">
        <v>425</v>
      </c>
      <c r="G9" s="17" t="s">
        <v>455</v>
      </c>
      <c r="H9" s="19">
        <v>50000000</v>
      </c>
      <c r="I9" s="19">
        <v>0</v>
      </c>
      <c r="J9" s="3">
        <f>H9-I9</f>
        <v>50000000</v>
      </c>
      <c r="K9" s="17" t="s">
        <v>49</v>
      </c>
    </row>
    <row r="10" spans="1:18" ht="19.5" customHeight="1">
      <c r="A10" s="22" t="s">
        <v>456</v>
      </c>
      <c r="B10" s="26" t="s">
        <v>422</v>
      </c>
      <c r="C10" s="22" t="s">
        <v>457</v>
      </c>
      <c r="D10" s="22" t="s">
        <v>458</v>
      </c>
      <c r="E10" s="22" t="s">
        <v>459</v>
      </c>
      <c r="F10" s="22" t="s">
        <v>425</v>
      </c>
      <c r="G10" s="22" t="s">
        <v>455</v>
      </c>
      <c r="H10" s="23">
        <v>0</v>
      </c>
      <c r="I10" s="23">
        <v>50000000</v>
      </c>
      <c r="J10" s="6">
        <f t="shared" ref="J10:J20" si="0">J9+H10-I10</f>
        <v>0</v>
      </c>
      <c r="K10" s="22" t="s">
        <v>49</v>
      </c>
    </row>
    <row r="11" spans="1:18" ht="19.5" customHeight="1">
      <c r="A11" s="17" t="s">
        <v>460</v>
      </c>
      <c r="B11" s="18" t="s">
        <v>422</v>
      </c>
      <c r="C11" s="17" t="s">
        <v>452</v>
      </c>
      <c r="D11" s="17" t="s">
        <v>453</v>
      </c>
      <c r="E11" s="17" t="s">
        <v>461</v>
      </c>
      <c r="F11" s="17" t="s">
        <v>462</v>
      </c>
      <c r="G11" s="17" t="s">
        <v>455</v>
      </c>
      <c r="H11" s="19">
        <v>50000000</v>
      </c>
      <c r="I11" s="19">
        <v>0</v>
      </c>
      <c r="J11" s="3">
        <f t="shared" si="0"/>
        <v>50000000</v>
      </c>
      <c r="K11" s="17" t="s">
        <v>49</v>
      </c>
    </row>
    <row r="12" spans="1:18" ht="19.5" customHeight="1">
      <c r="A12" s="22" t="s">
        <v>463</v>
      </c>
      <c r="B12" s="26" t="s">
        <v>422</v>
      </c>
      <c r="C12" s="22" t="s">
        <v>457</v>
      </c>
      <c r="D12" s="22" t="s">
        <v>458</v>
      </c>
      <c r="E12" s="22" t="s">
        <v>464</v>
      </c>
      <c r="F12" s="22" t="s">
        <v>462</v>
      </c>
      <c r="G12" s="22" t="s">
        <v>455</v>
      </c>
      <c r="H12" s="23">
        <v>0</v>
      </c>
      <c r="I12" s="23">
        <v>50000000</v>
      </c>
      <c r="J12" s="6">
        <f t="shared" si="0"/>
        <v>0</v>
      </c>
      <c r="K12" s="22" t="s">
        <v>49</v>
      </c>
    </row>
    <row r="13" spans="1:18" ht="19.5" customHeight="1">
      <c r="A13" s="17" t="s">
        <v>465</v>
      </c>
      <c r="B13" s="18" t="s">
        <v>282</v>
      </c>
      <c r="C13" s="17" t="s">
        <v>452</v>
      </c>
      <c r="D13" s="17" t="s">
        <v>453</v>
      </c>
      <c r="E13" s="17" t="s">
        <v>466</v>
      </c>
      <c r="F13" s="17" t="s">
        <v>428</v>
      </c>
      <c r="G13" s="17" t="s">
        <v>427</v>
      </c>
      <c r="H13" s="19">
        <v>500000</v>
      </c>
      <c r="I13" s="19">
        <v>0</v>
      </c>
      <c r="J13" s="3">
        <f t="shared" si="0"/>
        <v>500000</v>
      </c>
      <c r="K13" s="17" t="s">
        <v>49</v>
      </c>
    </row>
    <row r="14" spans="1:18" ht="19.5" customHeight="1">
      <c r="A14" s="22" t="s">
        <v>467</v>
      </c>
      <c r="B14" s="26" t="s">
        <v>282</v>
      </c>
      <c r="C14" s="22" t="s">
        <v>468</v>
      </c>
      <c r="D14" s="22" t="s">
        <v>469</v>
      </c>
      <c r="E14" s="22" t="s">
        <v>470</v>
      </c>
      <c r="F14" s="22" t="s">
        <v>428</v>
      </c>
      <c r="G14" s="22" t="s">
        <v>427</v>
      </c>
      <c r="H14" s="23">
        <v>0</v>
      </c>
      <c r="I14" s="23">
        <v>500000</v>
      </c>
      <c r="J14" s="6">
        <f t="shared" si="0"/>
        <v>0</v>
      </c>
      <c r="K14" s="22" t="s">
        <v>49</v>
      </c>
    </row>
    <row r="15" spans="1:18" ht="19.5" customHeight="1">
      <c r="A15" s="17" t="s">
        <v>471</v>
      </c>
      <c r="B15" s="18" t="s">
        <v>287</v>
      </c>
      <c r="C15" s="17" t="s">
        <v>452</v>
      </c>
      <c r="D15" s="17" t="s">
        <v>453</v>
      </c>
      <c r="E15" s="17" t="s">
        <v>472</v>
      </c>
      <c r="F15" s="17" t="s">
        <v>473</v>
      </c>
      <c r="G15" s="17" t="s">
        <v>427</v>
      </c>
      <c r="H15" s="19">
        <v>1000000</v>
      </c>
      <c r="I15" s="19">
        <v>0</v>
      </c>
      <c r="J15" s="3">
        <f t="shared" si="0"/>
        <v>1000000</v>
      </c>
      <c r="K15" s="17" t="s">
        <v>49</v>
      </c>
    </row>
    <row r="16" spans="1:18" ht="19.5" customHeight="1">
      <c r="A16" s="22" t="s">
        <v>474</v>
      </c>
      <c r="B16" s="26" t="s">
        <v>287</v>
      </c>
      <c r="C16" s="22" t="s">
        <v>468</v>
      </c>
      <c r="D16" s="22" t="s">
        <v>469</v>
      </c>
      <c r="E16" s="22" t="s">
        <v>475</v>
      </c>
      <c r="F16" s="22" t="s">
        <v>473</v>
      </c>
      <c r="G16" s="22" t="s">
        <v>427</v>
      </c>
      <c r="H16" s="23">
        <v>0</v>
      </c>
      <c r="I16" s="23">
        <v>1000000</v>
      </c>
      <c r="J16" s="6">
        <f t="shared" si="0"/>
        <v>0</v>
      </c>
      <c r="K16" s="22" t="s">
        <v>49</v>
      </c>
    </row>
    <row r="17" spans="1:11" ht="19.5" customHeight="1">
      <c r="A17" s="17" t="s">
        <v>476</v>
      </c>
      <c r="B17" s="18" t="s">
        <v>305</v>
      </c>
      <c r="C17" s="17" t="s">
        <v>477</v>
      </c>
      <c r="D17" s="17" t="s">
        <v>478</v>
      </c>
      <c r="E17" s="17" t="s">
        <v>479</v>
      </c>
      <c r="F17" s="17" t="s">
        <v>431</v>
      </c>
      <c r="G17" s="17" t="s">
        <v>430</v>
      </c>
      <c r="H17" s="19">
        <v>250000</v>
      </c>
      <c r="I17" s="19">
        <v>0</v>
      </c>
      <c r="J17" s="3">
        <f t="shared" si="0"/>
        <v>250000</v>
      </c>
      <c r="K17" s="17" t="s">
        <v>49</v>
      </c>
    </row>
    <row r="18" spans="1:11" ht="19.5" customHeight="1">
      <c r="A18" s="22" t="s">
        <v>480</v>
      </c>
      <c r="B18" s="26" t="s">
        <v>305</v>
      </c>
      <c r="C18" s="22" t="s">
        <v>452</v>
      </c>
      <c r="D18" s="22" t="s">
        <v>453</v>
      </c>
      <c r="E18" s="22" t="s">
        <v>481</v>
      </c>
      <c r="F18" s="22" t="s">
        <v>431</v>
      </c>
      <c r="G18" s="22" t="s">
        <v>430</v>
      </c>
      <c r="H18" s="23">
        <v>0</v>
      </c>
      <c r="I18" s="23">
        <v>250000</v>
      </c>
      <c r="J18" s="6">
        <f t="shared" si="0"/>
        <v>0</v>
      </c>
      <c r="K18" s="22" t="s">
        <v>49</v>
      </c>
    </row>
    <row r="19" spans="1:11" ht="19.5" customHeight="1">
      <c r="A19" s="17" t="s">
        <v>482</v>
      </c>
      <c r="B19" s="18" t="s">
        <v>307</v>
      </c>
      <c r="C19" s="17" t="s">
        <v>483</v>
      </c>
      <c r="D19" s="17" t="s">
        <v>484</v>
      </c>
      <c r="E19" s="17" t="s">
        <v>485</v>
      </c>
      <c r="F19" s="17" t="s">
        <v>486</v>
      </c>
      <c r="G19" s="17" t="s">
        <v>430</v>
      </c>
      <c r="H19" s="19">
        <v>100000</v>
      </c>
      <c r="I19" s="19">
        <v>0</v>
      </c>
      <c r="J19" s="3">
        <f t="shared" si="0"/>
        <v>100000</v>
      </c>
      <c r="K19" s="17" t="s">
        <v>49</v>
      </c>
    </row>
    <row r="20" spans="1:11" ht="19.5" customHeight="1">
      <c r="A20" s="22" t="s">
        <v>487</v>
      </c>
      <c r="B20" s="26" t="s">
        <v>307</v>
      </c>
      <c r="C20" s="22" t="s">
        <v>452</v>
      </c>
      <c r="D20" s="22" t="s">
        <v>453</v>
      </c>
      <c r="E20" s="22" t="s">
        <v>488</v>
      </c>
      <c r="F20" s="22" t="s">
        <v>486</v>
      </c>
      <c r="G20" s="22" t="s">
        <v>430</v>
      </c>
      <c r="H20" s="23">
        <v>0</v>
      </c>
      <c r="I20" s="23">
        <v>100000</v>
      </c>
      <c r="J20" s="6">
        <f t="shared" si="0"/>
        <v>0</v>
      </c>
      <c r="K20" s="22" t="s">
        <v>49</v>
      </c>
    </row>
    <row r="21" spans="1:11" ht="15.75" customHeight="1">
      <c r="A21" s="22" t="s">
        <v>693</v>
      </c>
      <c r="B21" s="26" t="s">
        <v>307</v>
      </c>
      <c r="C21" s="22" t="s">
        <v>452</v>
      </c>
      <c r="D21" s="22" t="s">
        <v>453</v>
      </c>
      <c r="E21" s="22" t="s">
        <v>488</v>
      </c>
      <c r="F21" s="22" t="s">
        <v>486</v>
      </c>
      <c r="G21" s="22" t="s">
        <v>430</v>
      </c>
      <c r="H21" s="23">
        <v>0</v>
      </c>
      <c r="I21" s="23">
        <v>100000</v>
      </c>
      <c r="J21" s="6">
        <f t="shared" ref="J21" si="1">J20+H21-I21</f>
        <v>-100000</v>
      </c>
      <c r="K21" s="22" t="s">
        <v>49</v>
      </c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5:H5"/>
    <mergeCell ref="I5:N5"/>
    <mergeCell ref="A7:L7"/>
    <mergeCell ref="A1:R1"/>
    <mergeCell ref="A2:R2"/>
    <mergeCell ref="A3:L3"/>
    <mergeCell ref="A4:D4"/>
    <mergeCell ref="E4:H4"/>
    <mergeCell ref="I4:N4"/>
    <mergeCell ref="A5:D5"/>
  </mergeCells>
  <pageMargins left="0.5" right="0.5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selection sqref="A1:R1"/>
    </sheetView>
  </sheetViews>
  <sheetFormatPr defaultColWidth="14.42578125" defaultRowHeight="15" customHeight="1"/>
  <cols>
    <col min="1" max="1" width="12" customWidth="1"/>
    <col min="2" max="2" width="32" customWidth="1"/>
    <col min="3" max="6" width="18" customWidth="1"/>
    <col min="7" max="26" width="8.7109375" customWidth="1"/>
  </cols>
  <sheetData>
    <row r="1" spans="1:18" ht="37.5" customHeight="1">
      <c r="A1" s="132" t="s">
        <v>489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490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19.5" customHeight="1">
      <c r="A3" s="145" t="s">
        <v>441</v>
      </c>
      <c r="B3" s="124"/>
      <c r="C3" s="125"/>
      <c r="D3" s="145" t="s">
        <v>442</v>
      </c>
      <c r="E3" s="124"/>
      <c r="F3" s="125"/>
      <c r="G3" s="143" t="s">
        <v>443</v>
      </c>
      <c r="H3" s="124"/>
      <c r="I3" s="124"/>
      <c r="J3" s="124"/>
      <c r="K3" s="124"/>
      <c r="L3" s="125"/>
    </row>
    <row r="4" spans="1:18" ht="36" customHeight="1">
      <c r="A4" s="183">
        <f>SUM(D7:D30)</f>
        <v>203700000</v>
      </c>
      <c r="B4" s="124"/>
      <c r="C4" s="125"/>
      <c r="D4" s="183">
        <f>SUM(E7:E30)</f>
        <v>203900000</v>
      </c>
      <c r="E4" s="124"/>
      <c r="F4" s="125"/>
      <c r="G4" s="251" t="str">
        <f>IF(ABS(B4-E4)&lt;1,"BALANCED","OUT OF BALANCE")</f>
        <v>BALANCED</v>
      </c>
      <c r="H4" s="124"/>
      <c r="I4" s="124"/>
      <c r="J4" s="124"/>
      <c r="K4" s="124"/>
      <c r="L4" s="125"/>
    </row>
    <row r="6" spans="1:18" ht="21.75" customHeight="1">
      <c r="A6" s="1" t="s">
        <v>446</v>
      </c>
      <c r="B6" s="1" t="s">
        <v>447</v>
      </c>
      <c r="C6" s="1" t="s">
        <v>105</v>
      </c>
      <c r="D6" s="1" t="s">
        <v>448</v>
      </c>
      <c r="E6" s="1" t="s">
        <v>449</v>
      </c>
      <c r="F6" s="1" t="s">
        <v>491</v>
      </c>
    </row>
    <row r="7" spans="1:18" ht="19.5" customHeight="1">
      <c r="A7" s="17" t="s">
        <v>452</v>
      </c>
      <c r="B7" s="17" t="s">
        <v>453</v>
      </c>
      <c r="C7" s="17" t="s">
        <v>492</v>
      </c>
      <c r="D7" s="3">
        <f>SUMIF('📒 General Ledger AUTO'!C:C,A7,'📒 General Ledger AUTO'!H:H)</f>
        <v>101500000</v>
      </c>
      <c r="E7" s="3">
        <f>SUMIF('📒 General Ledger AUTO'!C:C,A7,'📒 General Ledger AUTO'!I:I)</f>
        <v>450000</v>
      </c>
      <c r="F7" s="3">
        <f t="shared" ref="F7:F17" si="0">D7-E7</f>
        <v>101050000</v>
      </c>
    </row>
    <row r="8" spans="1:18" ht="19.5" customHeight="1">
      <c r="A8" s="22" t="s">
        <v>468</v>
      </c>
      <c r="B8" s="22" t="s">
        <v>469</v>
      </c>
      <c r="C8" s="22" t="s">
        <v>492</v>
      </c>
      <c r="D8" s="6">
        <f>SUMIF('📒 General Ledger AUTO'!C:C,A8,'📒 General Ledger AUTO'!H:H)</f>
        <v>0</v>
      </c>
      <c r="E8" s="6">
        <f>SUMIF('📒 General Ledger AUTO'!C:C,A8,'📒 General Ledger AUTO'!I:I)</f>
        <v>1500000</v>
      </c>
      <c r="F8" s="6">
        <f t="shared" si="0"/>
        <v>-1500000</v>
      </c>
    </row>
    <row r="9" spans="1:18" ht="19.5" customHeight="1">
      <c r="A9" s="17" t="s">
        <v>493</v>
      </c>
      <c r="B9" s="17" t="s">
        <v>494</v>
      </c>
      <c r="C9" s="17" t="s">
        <v>492</v>
      </c>
      <c r="D9" s="19" t="s">
        <v>495</v>
      </c>
      <c r="E9" s="19" t="s">
        <v>495</v>
      </c>
      <c r="F9" s="3">
        <f t="shared" si="0"/>
        <v>0</v>
      </c>
    </row>
    <row r="10" spans="1:18" ht="19.5" customHeight="1">
      <c r="A10" s="22" t="s">
        <v>496</v>
      </c>
      <c r="B10" s="22" t="s">
        <v>497</v>
      </c>
      <c r="C10" s="22" t="s">
        <v>498</v>
      </c>
      <c r="D10" s="23" t="s">
        <v>495</v>
      </c>
      <c r="E10" s="23" t="s">
        <v>495</v>
      </c>
      <c r="F10" s="6">
        <f t="shared" si="0"/>
        <v>0</v>
      </c>
    </row>
    <row r="11" spans="1:18" ht="19.5" customHeight="1">
      <c r="A11" s="17" t="s">
        <v>457</v>
      </c>
      <c r="B11" s="17" t="s">
        <v>458</v>
      </c>
      <c r="C11" s="17" t="s">
        <v>499</v>
      </c>
      <c r="D11" s="3">
        <f>SUMIF('📒 General Ledger AUTO'!C:C,A11,'📒 General Ledger AUTO'!H:H)</f>
        <v>0</v>
      </c>
      <c r="E11" s="3">
        <f>SUMIF('📒 General Ledger AUTO'!C:C,A11,'📒 General Ledger AUTO'!I:I)</f>
        <v>100000000</v>
      </c>
      <c r="F11" s="3">
        <f t="shared" si="0"/>
        <v>-100000000</v>
      </c>
    </row>
    <row r="12" spans="1:18" ht="19.5" customHeight="1">
      <c r="A12" s="22" t="s">
        <v>477</v>
      </c>
      <c r="B12" s="22" t="s">
        <v>500</v>
      </c>
      <c r="C12" s="22" t="s">
        <v>501</v>
      </c>
      <c r="D12" s="6">
        <f>SUMIF('📒 General Ledger AUTO'!C:C,A12,'📒 General Ledger AUTO'!H:H)</f>
        <v>250000</v>
      </c>
      <c r="E12" s="6">
        <f>SUMIF('📒 General Ledger AUTO'!C:C,A12,'📒 General Ledger AUTO'!I:I)</f>
        <v>0</v>
      </c>
      <c r="F12" s="6">
        <f t="shared" si="0"/>
        <v>250000</v>
      </c>
    </row>
    <row r="13" spans="1:18" ht="19.5" customHeight="1">
      <c r="A13" s="17" t="s">
        <v>483</v>
      </c>
      <c r="B13" s="17" t="s">
        <v>484</v>
      </c>
      <c r="C13" s="17" t="s">
        <v>501</v>
      </c>
      <c r="D13" s="3">
        <f>SUMIF('📒 General Ledger AUTO'!C:C,A13,'📒 General Ledger AUTO'!H:H)</f>
        <v>100000</v>
      </c>
      <c r="E13" s="3">
        <f>SUMIF('📒 General Ledger AUTO'!C:C,A13,'📒 General Ledger AUTO'!I:I)</f>
        <v>0</v>
      </c>
      <c r="F13" s="3">
        <f t="shared" si="0"/>
        <v>100000</v>
      </c>
    </row>
    <row r="14" spans="1:18" ht="19.5" customHeight="1">
      <c r="A14" s="22" t="s">
        <v>502</v>
      </c>
      <c r="B14" s="22" t="s">
        <v>49</v>
      </c>
      <c r="C14" s="22" t="s">
        <v>501</v>
      </c>
      <c r="D14" s="23" t="s">
        <v>495</v>
      </c>
      <c r="E14" s="23" t="s">
        <v>495</v>
      </c>
      <c r="F14" s="6">
        <f t="shared" si="0"/>
        <v>0</v>
      </c>
    </row>
    <row r="15" spans="1:18" ht="19.5" customHeight="1">
      <c r="A15" s="17" t="s">
        <v>503</v>
      </c>
      <c r="B15" s="17" t="s">
        <v>50</v>
      </c>
      <c r="C15" s="17" t="s">
        <v>501</v>
      </c>
      <c r="D15" s="19" t="s">
        <v>495</v>
      </c>
      <c r="E15" s="19" t="s">
        <v>495</v>
      </c>
      <c r="F15" s="3">
        <f t="shared" si="0"/>
        <v>0</v>
      </c>
    </row>
    <row r="16" spans="1:18" ht="19.5" customHeight="1">
      <c r="A16" s="22" t="s">
        <v>504</v>
      </c>
      <c r="B16" s="22" t="s">
        <v>505</v>
      </c>
      <c r="C16" s="22" t="s">
        <v>501</v>
      </c>
      <c r="D16" s="23" t="s">
        <v>495</v>
      </c>
      <c r="E16" s="23" t="s">
        <v>495</v>
      </c>
      <c r="F16" s="6">
        <f t="shared" si="0"/>
        <v>0</v>
      </c>
    </row>
    <row r="17" spans="1:6" ht="24" customHeight="1">
      <c r="A17" s="244" t="s">
        <v>506</v>
      </c>
      <c r="B17" s="124"/>
      <c r="C17" s="125"/>
      <c r="D17" s="31">
        <f t="shared" ref="D17:E17" si="1">SUM(D7:D16)</f>
        <v>101850000</v>
      </c>
      <c r="E17" s="31">
        <f t="shared" si="1"/>
        <v>101950000</v>
      </c>
      <c r="F17" s="31">
        <f t="shared" si="0"/>
        <v>-100000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:C4"/>
    <mergeCell ref="A17:C17"/>
    <mergeCell ref="A1:R1"/>
    <mergeCell ref="A2:R2"/>
    <mergeCell ref="A3:C3"/>
    <mergeCell ref="D3:F3"/>
    <mergeCell ref="G3:L3"/>
    <mergeCell ref="D4:F4"/>
    <mergeCell ref="G4:L4"/>
  </mergeCells>
  <pageMargins left="0.5" right="0.5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1000"/>
  <sheetViews>
    <sheetView showGridLines="0" topLeftCell="A7" workbookViewId="0">
      <selection activeCell="H5" sqref="H5"/>
    </sheetView>
  </sheetViews>
  <sheetFormatPr defaultColWidth="14.42578125" defaultRowHeight="15" customHeight="1"/>
  <cols>
    <col min="1" max="6" width="10" customWidth="1"/>
    <col min="7" max="7" width="14" customWidth="1"/>
    <col min="8" max="8" width="24" customWidth="1"/>
    <col min="9" max="26" width="8.7109375" customWidth="1"/>
  </cols>
  <sheetData>
    <row r="1" spans="1:18" ht="37.5" customHeight="1">
      <c r="A1" s="132" t="s">
        <v>507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4" customHeight="1">
      <c r="A3" s="189" t="s">
        <v>508</v>
      </c>
      <c r="B3" s="124"/>
      <c r="C3" s="124"/>
      <c r="D3" s="124"/>
      <c r="E3" s="124"/>
      <c r="F3" s="124"/>
      <c r="G3" s="124"/>
      <c r="H3" s="125"/>
    </row>
    <row r="4" spans="1:18" ht="19.5" customHeight="1">
      <c r="A4" s="186" t="s">
        <v>509</v>
      </c>
      <c r="B4" s="124"/>
      <c r="C4" s="124"/>
      <c r="D4" s="124"/>
      <c r="E4" s="124"/>
      <c r="F4" s="124"/>
      <c r="G4" s="125"/>
      <c r="H4" s="32">
        <f>IFERROR(SUMIF('🏘️ Flat Register'!L:L,"Sold",'🏘️ Flat Register'!H:H),0)</f>
        <v>5670000</v>
      </c>
    </row>
    <row r="5" spans="1:18" ht="19.5" customHeight="1">
      <c r="A5" s="187" t="s">
        <v>510</v>
      </c>
      <c r="B5" s="124"/>
      <c r="C5" s="124"/>
      <c r="D5" s="124"/>
      <c r="E5" s="124"/>
      <c r="F5" s="124"/>
      <c r="G5" s="125"/>
      <c r="H5" s="33">
        <v>0</v>
      </c>
    </row>
    <row r="6" spans="1:18" ht="24" customHeight="1">
      <c r="A6" s="185" t="s">
        <v>511</v>
      </c>
      <c r="B6" s="124"/>
      <c r="C6" s="124"/>
      <c r="D6" s="124"/>
      <c r="E6" s="124"/>
      <c r="F6" s="124"/>
      <c r="G6" s="125"/>
      <c r="H6" s="34">
        <f>SUM(H4:H5)</f>
        <v>5670000</v>
      </c>
    </row>
    <row r="8" spans="1:18" ht="24" customHeight="1">
      <c r="A8" s="189" t="s">
        <v>512</v>
      </c>
      <c r="B8" s="124"/>
      <c r="C8" s="124"/>
      <c r="D8" s="124"/>
      <c r="E8" s="124"/>
      <c r="F8" s="124"/>
      <c r="G8" s="124"/>
      <c r="H8" s="125"/>
    </row>
    <row r="9" spans="1:18" ht="19.5" customHeight="1">
      <c r="A9" s="186" t="s">
        <v>513</v>
      </c>
      <c r="B9" s="124"/>
      <c r="C9" s="124"/>
      <c r="D9" s="124"/>
      <c r="E9" s="124"/>
      <c r="F9" s="124"/>
      <c r="G9" s="125"/>
      <c r="H9" s="32">
        <f>IFERROR(SUMIF('🧾 EXPENSES ← Enter Here'!E:E,"Material",'🧾 EXPENSES ← Enter Here'!J:J),0)</f>
        <v>0</v>
      </c>
    </row>
    <row r="10" spans="1:18" ht="19.5" customHeight="1">
      <c r="A10" s="187" t="s">
        <v>514</v>
      </c>
      <c r="B10" s="124"/>
      <c r="C10" s="124"/>
      <c r="D10" s="124"/>
      <c r="E10" s="124"/>
      <c r="F10" s="124"/>
      <c r="G10" s="125"/>
      <c r="H10" s="33">
        <f>IFERROR(SUMIF('🧾 EXPENSES ← Enter Here'!E:E,"Labor",'🧾 EXPENSES ← Enter Here'!J:J),0)</f>
        <v>0</v>
      </c>
    </row>
    <row r="11" spans="1:18" ht="19.5" customHeight="1">
      <c r="A11" s="186" t="s">
        <v>515</v>
      </c>
      <c r="B11" s="124"/>
      <c r="C11" s="124"/>
      <c r="D11" s="124"/>
      <c r="E11" s="124"/>
      <c r="F11" s="124"/>
      <c r="G11" s="125"/>
      <c r="H11" s="32">
        <f>IFERROR(SUMIF('🧾 EXPENSES ← Enter Here'!E:E,"Contractor",'🧾 EXPENSES ← Enter Here'!J:J),0)</f>
        <v>0</v>
      </c>
    </row>
    <row r="12" spans="1:18" ht="19.5" customHeight="1">
      <c r="A12" s="187" t="s">
        <v>516</v>
      </c>
      <c r="B12" s="124"/>
      <c r="C12" s="124"/>
      <c r="D12" s="124"/>
      <c r="E12" s="124"/>
      <c r="F12" s="124"/>
      <c r="G12" s="125"/>
      <c r="H12" s="33">
        <f>IFERROR(SUMIF('🧾 EXPENSES ← Enter Here'!E:E,"Equipment",'🧾 EXPENSES ← Enter Here'!J:J),0)</f>
        <v>0</v>
      </c>
    </row>
    <row r="13" spans="1:18" ht="19.5" customHeight="1">
      <c r="A13" s="186" t="s">
        <v>517</v>
      </c>
      <c r="B13" s="124"/>
      <c r="C13" s="124"/>
      <c r="D13" s="124"/>
      <c r="E13" s="124"/>
      <c r="F13" s="124"/>
      <c r="G13" s="125"/>
      <c r="H13" s="32">
        <f>IFERROR(SUMIF('🧾 EXPENSES ← Enter Here'!E:E,"Utilities",'🧾 EXPENSES ← Enter Here'!J:J),0)</f>
        <v>0</v>
      </c>
    </row>
    <row r="14" spans="1:18" ht="24" customHeight="1">
      <c r="A14" s="252" t="s">
        <v>518</v>
      </c>
      <c r="B14" s="124"/>
      <c r="C14" s="124"/>
      <c r="D14" s="124"/>
      <c r="E14" s="124"/>
      <c r="F14" s="124"/>
      <c r="G14" s="125"/>
      <c r="H14" s="35">
        <f>SUM(H9:H13)</f>
        <v>0</v>
      </c>
    </row>
    <row r="15" spans="1:18" ht="24" customHeight="1">
      <c r="A15" s="188" t="s">
        <v>519</v>
      </c>
      <c r="B15" s="124"/>
      <c r="C15" s="124"/>
      <c r="D15" s="124"/>
      <c r="E15" s="124"/>
      <c r="F15" s="124"/>
      <c r="G15" s="125"/>
      <c r="H15" s="36">
        <f>H6-H14</f>
        <v>5670000</v>
      </c>
    </row>
    <row r="17" spans="1:8" ht="24" customHeight="1">
      <c r="A17" s="189" t="s">
        <v>520</v>
      </c>
      <c r="B17" s="124"/>
      <c r="C17" s="124"/>
      <c r="D17" s="124"/>
      <c r="E17" s="124"/>
      <c r="F17" s="124"/>
      <c r="G17" s="124"/>
      <c r="H17" s="125"/>
    </row>
    <row r="18" spans="1:8" ht="19.5" customHeight="1">
      <c r="A18" s="186" t="s">
        <v>521</v>
      </c>
      <c r="B18" s="124"/>
      <c r="C18" s="124"/>
      <c r="D18" s="124"/>
      <c r="E18" s="124"/>
      <c r="F18" s="124"/>
      <c r="G18" s="125"/>
      <c r="H18" s="32">
        <f>IFERROR(SUMIF('🧾 EXPENSES ← Enter Here'!E:E,"Salary",'🧾 EXPENSES ← Enter Here'!J:J),0)</f>
        <v>0</v>
      </c>
    </row>
    <row r="19" spans="1:8" ht="19.5" customHeight="1">
      <c r="A19" s="187" t="s">
        <v>522</v>
      </c>
      <c r="B19" s="124"/>
      <c r="C19" s="124"/>
      <c r="D19" s="124"/>
      <c r="E19" s="124"/>
      <c r="F19" s="124"/>
      <c r="G19" s="125"/>
      <c r="H19" s="33">
        <f>IFERROR(SUMIF('🧾 EXPENSES ← Enter Here'!E:E,"Admin",'🧾 EXPENSES ← Enter Here'!J:J),0)</f>
        <v>0</v>
      </c>
    </row>
    <row r="20" spans="1:8" ht="19.5" customHeight="1">
      <c r="A20" s="186" t="s">
        <v>523</v>
      </c>
      <c r="B20" s="124"/>
      <c r="C20" s="124"/>
      <c r="D20" s="124"/>
      <c r="E20" s="124"/>
      <c r="F20" s="124"/>
      <c r="G20" s="125"/>
      <c r="H20" s="32">
        <f>IFERROR(SUMIF('🧾 EXPENSES ← Enter Here'!E:E,"Marketing",'🧾 EXPENSES ← Enter Here'!J:J),0)</f>
        <v>0</v>
      </c>
    </row>
    <row r="21" spans="1:8" ht="19.5" customHeight="1">
      <c r="A21" s="187" t="s">
        <v>524</v>
      </c>
      <c r="B21" s="124"/>
      <c r="C21" s="124"/>
      <c r="D21" s="124"/>
      <c r="E21" s="124"/>
      <c r="F21" s="124"/>
      <c r="G21" s="125"/>
      <c r="H21" s="33">
        <f>IFERROR(SUMIF('🧾 EXPENSES ← Enter Here'!E:E,"Legal",'🧾 EXPENSES ← Enter Here'!J:J)+SUMIF('🧾 EXPENSES ← Enter Here'!E:E,"Professional",'🧾 EXPENSES ← Enter Here'!J:J),0)</f>
        <v>0</v>
      </c>
    </row>
    <row r="22" spans="1:8" ht="19.5" customHeight="1">
      <c r="A22" s="186" t="s">
        <v>525</v>
      </c>
      <c r="B22" s="124"/>
      <c r="C22" s="124"/>
      <c r="D22" s="124"/>
      <c r="E22" s="124"/>
      <c r="F22" s="124"/>
      <c r="G22" s="125"/>
      <c r="H22" s="32">
        <f>IFERROR(SUMIF('🧾 EXPENSES ← Enter Here'!E:E,"Other",'🧾 EXPENSES ← Enter Here'!J:J),0)</f>
        <v>4060000</v>
      </c>
    </row>
    <row r="23" spans="1:8" ht="24" customHeight="1">
      <c r="A23" s="252" t="s">
        <v>526</v>
      </c>
      <c r="B23" s="124"/>
      <c r="C23" s="124"/>
      <c r="D23" s="124"/>
      <c r="E23" s="124"/>
      <c r="F23" s="124"/>
      <c r="G23" s="125"/>
      <c r="H23" s="35">
        <f>SUM(H18:H22)</f>
        <v>4060000</v>
      </c>
    </row>
    <row r="24" spans="1:8" ht="24" customHeight="1">
      <c r="A24" s="189" t="s">
        <v>527</v>
      </c>
      <c r="B24" s="124"/>
      <c r="C24" s="124"/>
      <c r="D24" s="124"/>
      <c r="E24" s="124"/>
      <c r="F24" s="124"/>
      <c r="G24" s="125"/>
      <c r="H24" s="37">
        <f>H15-H23</f>
        <v>1610000</v>
      </c>
    </row>
    <row r="25" spans="1:8" ht="15.75" customHeight="1"/>
    <row r="26" spans="1:8" ht="24" customHeight="1">
      <c r="A26" s="189" t="s">
        <v>528</v>
      </c>
      <c r="B26" s="124"/>
      <c r="C26" s="124"/>
      <c r="D26" s="124"/>
      <c r="E26" s="124"/>
      <c r="F26" s="124"/>
      <c r="G26" s="124"/>
      <c r="H26" s="125"/>
    </row>
    <row r="27" spans="1:8" ht="19.5" customHeight="1">
      <c r="A27" s="186" t="s">
        <v>529</v>
      </c>
      <c r="B27" s="124"/>
      <c r="C27" s="124"/>
      <c r="D27" s="124"/>
      <c r="E27" s="124"/>
      <c r="F27" s="124"/>
      <c r="G27" s="125"/>
      <c r="H27" s="32">
        <v>0</v>
      </c>
    </row>
    <row r="28" spans="1:8" ht="19.5" customHeight="1">
      <c r="A28" s="187" t="s">
        <v>530</v>
      </c>
      <c r="B28" s="124"/>
      <c r="C28" s="124"/>
      <c r="D28" s="124"/>
      <c r="E28" s="124"/>
      <c r="F28" s="124"/>
      <c r="G28" s="125"/>
      <c r="H28" s="33">
        <v>0</v>
      </c>
    </row>
    <row r="29" spans="1:8" ht="24" customHeight="1">
      <c r="A29" s="188" t="s">
        <v>531</v>
      </c>
      <c r="B29" s="124"/>
      <c r="C29" s="124"/>
      <c r="D29" s="124"/>
      <c r="E29" s="124"/>
      <c r="F29" s="124"/>
      <c r="G29" s="125"/>
      <c r="H29" s="36">
        <f>H24-SUM(H27:H28)</f>
        <v>1610000</v>
      </c>
    </row>
    <row r="30" spans="1:8" ht="19.5" customHeight="1">
      <c r="A30" s="186" t="s">
        <v>532</v>
      </c>
      <c r="B30" s="124"/>
      <c r="C30" s="124"/>
      <c r="D30" s="124"/>
      <c r="E30" s="124"/>
      <c r="F30" s="124"/>
      <c r="G30" s="125"/>
      <c r="H30" s="32">
        <f>IFERROR(H29*0.5,0)</f>
        <v>805000</v>
      </c>
    </row>
    <row r="31" spans="1:8" ht="19.5" customHeight="1">
      <c r="A31" s="187" t="s">
        <v>533</v>
      </c>
      <c r="B31" s="124"/>
      <c r="C31" s="124"/>
      <c r="D31" s="124"/>
      <c r="E31" s="124"/>
      <c r="F31" s="124"/>
      <c r="G31" s="125"/>
      <c r="H31" s="33">
        <f>IFERROR(H29*0.5,0)</f>
        <v>805000</v>
      </c>
    </row>
    <row r="32" spans="1:8" ht="24" customHeight="1">
      <c r="A32" s="185" t="s">
        <v>534</v>
      </c>
      <c r="B32" s="124"/>
      <c r="C32" s="124"/>
      <c r="D32" s="124"/>
      <c r="E32" s="124"/>
      <c r="F32" s="124"/>
      <c r="G32" s="125"/>
      <c r="H32" s="34">
        <f>H29</f>
        <v>1610000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R1"/>
    <mergeCell ref="A2:R2"/>
    <mergeCell ref="A3:H3"/>
    <mergeCell ref="A4:G4"/>
    <mergeCell ref="A5:G5"/>
    <mergeCell ref="A6:G6"/>
    <mergeCell ref="A8:H8"/>
    <mergeCell ref="A9:G9"/>
    <mergeCell ref="A10:G10"/>
    <mergeCell ref="A11:G11"/>
    <mergeCell ref="A12:G12"/>
    <mergeCell ref="A13:G13"/>
    <mergeCell ref="A14:G14"/>
    <mergeCell ref="A15:G15"/>
    <mergeCell ref="A24:G24"/>
    <mergeCell ref="A31:G31"/>
    <mergeCell ref="A32:G32"/>
    <mergeCell ref="A17:H17"/>
    <mergeCell ref="A18:G18"/>
    <mergeCell ref="A19:G19"/>
    <mergeCell ref="A20:G20"/>
    <mergeCell ref="A21:G21"/>
    <mergeCell ref="A22:G22"/>
    <mergeCell ref="A23:G23"/>
    <mergeCell ref="A26:H26"/>
    <mergeCell ref="A27:G27"/>
    <mergeCell ref="A28:G28"/>
    <mergeCell ref="A29:G29"/>
    <mergeCell ref="A30:G30"/>
  </mergeCells>
  <pageMargins left="0.5" right="0.5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1000"/>
  <sheetViews>
    <sheetView showGridLines="0" topLeftCell="A10" workbookViewId="0">
      <selection activeCell="H12" sqref="H12"/>
    </sheetView>
  </sheetViews>
  <sheetFormatPr defaultColWidth="14.42578125" defaultRowHeight="15" customHeight="1"/>
  <cols>
    <col min="1" max="1" width="12" customWidth="1"/>
    <col min="2" max="6" width="10" customWidth="1"/>
    <col min="7" max="7" width="14" customWidth="1"/>
    <col min="8" max="8" width="24" customWidth="1"/>
    <col min="9" max="26" width="8.7109375" customWidth="1"/>
  </cols>
  <sheetData>
    <row r="1" spans="1:18" ht="37.5" customHeight="1">
      <c r="A1" s="132" t="s">
        <v>535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4" customHeight="1">
      <c r="A3" s="189" t="s">
        <v>536</v>
      </c>
      <c r="B3" s="124"/>
      <c r="C3" s="124"/>
      <c r="D3" s="124"/>
      <c r="E3" s="124"/>
      <c r="F3" s="124"/>
      <c r="G3" s="124"/>
      <c r="H3" s="125"/>
    </row>
    <row r="4" spans="1:18" ht="24" customHeight="1">
      <c r="A4" s="191" t="s">
        <v>537</v>
      </c>
      <c r="B4" s="124"/>
      <c r="C4" s="124"/>
      <c r="D4" s="124"/>
      <c r="E4" s="124"/>
      <c r="F4" s="124"/>
      <c r="G4" s="124"/>
      <c r="H4" s="125"/>
    </row>
    <row r="5" spans="1:18" ht="19.5" customHeight="1">
      <c r="A5" s="186" t="s">
        <v>538</v>
      </c>
      <c r="B5" s="124"/>
      <c r="C5" s="124"/>
      <c r="D5" s="124"/>
      <c r="E5" s="124"/>
      <c r="F5" s="124"/>
      <c r="G5" s="125"/>
      <c r="H5" s="32">
        <f>'🏦 Bank Book AUTO'!E12+'💵 Cash Book AUTO'!D7</f>
        <v>-1480000</v>
      </c>
    </row>
    <row r="6" spans="1:18" ht="19.5" customHeight="1">
      <c r="A6" s="187" t="s">
        <v>539</v>
      </c>
      <c r="B6" s="124"/>
      <c r="C6" s="124"/>
      <c r="D6" s="124"/>
      <c r="E6" s="124"/>
      <c r="F6" s="124"/>
      <c r="G6" s="125"/>
      <c r="H6" s="33">
        <f ca="1">IFERROR(SUMIF('📅 Installments AUTO'!N:N,"Pending",'📅 Installments AUTO'!K:K)+SUMIF('📅 Installments AUTO'!N:N,"Overdue",'📅 Installments AUTO'!K:K),0)</f>
        <v>3200000</v>
      </c>
    </row>
    <row r="7" spans="1:18" ht="19.5" customHeight="1">
      <c r="A7" s="186" t="s">
        <v>540</v>
      </c>
      <c r="B7" s="124"/>
      <c r="C7" s="124"/>
      <c r="D7" s="124"/>
      <c r="E7" s="124"/>
      <c r="F7" s="124"/>
      <c r="G7" s="125"/>
      <c r="H7" s="32">
        <v>0</v>
      </c>
    </row>
    <row r="8" spans="1:18" ht="24" customHeight="1">
      <c r="A8" s="191" t="s">
        <v>541</v>
      </c>
      <c r="B8" s="124"/>
      <c r="C8" s="124"/>
      <c r="D8" s="124"/>
      <c r="E8" s="124"/>
      <c r="F8" s="124"/>
      <c r="G8" s="125"/>
      <c r="H8" s="38">
        <f ca="1">SUM(H5:H7)</f>
        <v>1720000</v>
      </c>
    </row>
    <row r="10" spans="1:18" ht="24" customHeight="1">
      <c r="A10" s="190" t="s">
        <v>542</v>
      </c>
      <c r="B10" s="124"/>
      <c r="C10" s="124"/>
      <c r="D10" s="124"/>
      <c r="E10" s="124"/>
      <c r="F10" s="124"/>
      <c r="G10" s="124"/>
      <c r="H10" s="125"/>
    </row>
    <row r="11" spans="1:18" ht="19.5" customHeight="1">
      <c r="A11" s="186" t="s">
        <v>543</v>
      </c>
      <c r="B11" s="124"/>
      <c r="C11" s="124"/>
      <c r="D11" s="124"/>
      <c r="E11" s="124"/>
      <c r="F11" s="124"/>
      <c r="G11" s="125"/>
      <c r="H11" s="32">
        <f>IFERROR(SUMIF('🧾 EXPENSES ← Enter Here'!E:E,"Material",'🧾 EXPENSES ← Enter Here'!J:J)+SUMIF('🧾 EXPENSES ← Enter Here'!E:E,"Contractor",'🧾 EXPENSES ← Enter Here'!J:J),0)</f>
        <v>0</v>
      </c>
    </row>
    <row r="12" spans="1:18" ht="19.5" customHeight="1">
      <c r="A12" s="187" t="s">
        <v>544</v>
      </c>
      <c r="B12" s="124"/>
      <c r="C12" s="124"/>
      <c r="D12" s="124"/>
      <c r="E12" s="124"/>
      <c r="F12" s="124"/>
      <c r="G12" s="125"/>
      <c r="H12" s="33">
        <f>IFERROR(SUMPRODUCT('📦 Materials'!G4:G100*'📦 Materials'!E4:E100),0)</f>
        <v>0</v>
      </c>
    </row>
    <row r="13" spans="1:18" ht="19.5" customHeight="1">
      <c r="A13" s="186" t="s">
        <v>545</v>
      </c>
      <c r="B13" s="124"/>
      <c r="C13" s="124"/>
      <c r="D13" s="124"/>
      <c r="E13" s="124"/>
      <c r="F13" s="124"/>
      <c r="G13" s="125"/>
      <c r="H13" s="32">
        <v>0</v>
      </c>
    </row>
    <row r="14" spans="1:18" ht="24" customHeight="1">
      <c r="A14" s="190" t="s">
        <v>546</v>
      </c>
      <c r="B14" s="124"/>
      <c r="C14" s="124"/>
      <c r="D14" s="124"/>
      <c r="E14" s="124"/>
      <c r="F14" s="124"/>
      <c r="G14" s="125"/>
      <c r="H14" s="39">
        <f>SUM(H11:H13)</f>
        <v>0</v>
      </c>
    </row>
    <row r="15" spans="1:18" ht="24" customHeight="1">
      <c r="A15" s="185" t="s">
        <v>547</v>
      </c>
      <c r="B15" s="124"/>
      <c r="C15" s="124"/>
      <c r="D15" s="124"/>
      <c r="E15" s="124"/>
      <c r="F15" s="124"/>
      <c r="G15" s="125"/>
      <c r="H15" s="34">
        <f ca="1">H8+H14</f>
        <v>1720000</v>
      </c>
    </row>
    <row r="17" spans="1:8" ht="24" customHeight="1">
      <c r="A17" s="189" t="s">
        <v>548</v>
      </c>
      <c r="B17" s="124"/>
      <c r="C17" s="124"/>
      <c r="D17" s="124"/>
      <c r="E17" s="124"/>
      <c r="F17" s="124"/>
      <c r="G17" s="124"/>
      <c r="H17" s="125"/>
    </row>
    <row r="18" spans="1:8" ht="24" customHeight="1">
      <c r="A18" s="252" t="s">
        <v>549</v>
      </c>
      <c r="B18" s="124"/>
      <c r="C18" s="124"/>
      <c r="D18" s="124"/>
      <c r="E18" s="124"/>
      <c r="F18" s="124"/>
      <c r="G18" s="124"/>
      <c r="H18" s="125"/>
    </row>
    <row r="19" spans="1:8" ht="19.5" customHeight="1">
      <c r="A19" s="186" t="s">
        <v>550</v>
      </c>
      <c r="B19" s="124"/>
      <c r="C19" s="124"/>
      <c r="D19" s="124"/>
      <c r="E19" s="124"/>
      <c r="F19" s="124"/>
      <c r="G19" s="125"/>
      <c r="H19" s="32">
        <f>IFERROR(SUM('📤 Payables AUTO'!F6:F500),0)</f>
        <v>0</v>
      </c>
    </row>
    <row r="20" spans="1:8" ht="19.5" customHeight="1">
      <c r="A20" s="187" t="s">
        <v>551</v>
      </c>
      <c r="B20" s="124"/>
      <c r="C20" s="124"/>
      <c r="D20" s="124"/>
      <c r="E20" s="124"/>
      <c r="F20" s="124"/>
      <c r="G20" s="125"/>
      <c r="H20" s="33">
        <f ca="1">IFERROR(SUM('👷 Contractors'!J:J),0)</f>
        <v>0</v>
      </c>
    </row>
    <row r="21" spans="1:8" ht="19.5" customHeight="1">
      <c r="A21" s="186" t="s">
        <v>552</v>
      </c>
      <c r="B21" s="124"/>
      <c r="C21" s="124"/>
      <c r="D21" s="124"/>
      <c r="E21" s="124"/>
      <c r="F21" s="124"/>
      <c r="G21" s="125"/>
      <c r="H21" s="32">
        <v>0</v>
      </c>
    </row>
    <row r="22" spans="1:8" ht="24" customHeight="1">
      <c r="A22" s="252" t="s">
        <v>553</v>
      </c>
      <c r="B22" s="124"/>
      <c r="C22" s="124"/>
      <c r="D22" s="124"/>
      <c r="E22" s="124"/>
      <c r="F22" s="124"/>
      <c r="G22" s="125"/>
      <c r="H22" s="35">
        <f ca="1">SUM(H19:H21)</f>
        <v>5000000</v>
      </c>
    </row>
    <row r="23" spans="1:8" ht="15.75" customHeight="1"/>
    <row r="24" spans="1:8" ht="24" customHeight="1">
      <c r="A24" s="253" t="s">
        <v>554</v>
      </c>
      <c r="B24" s="124"/>
      <c r="C24" s="124"/>
      <c r="D24" s="124"/>
      <c r="E24" s="124"/>
      <c r="F24" s="124"/>
      <c r="G24" s="124"/>
      <c r="H24" s="125"/>
    </row>
    <row r="25" spans="1:8" ht="19.5" customHeight="1">
      <c r="A25" s="186" t="s">
        <v>555</v>
      </c>
      <c r="B25" s="124"/>
      <c r="C25" s="124"/>
      <c r="D25" s="124"/>
      <c r="E25" s="124"/>
      <c r="F25" s="124"/>
      <c r="G25" s="125"/>
      <c r="H25" s="32">
        <f>IFERROR(SUM('👥 Partners'!F8:F12),0)</f>
        <v>2000000</v>
      </c>
    </row>
    <row r="26" spans="1:8" ht="19.5" customHeight="1">
      <c r="A26" s="187" t="s">
        <v>556</v>
      </c>
      <c r="B26" s="124"/>
      <c r="C26" s="124"/>
      <c r="D26" s="124"/>
      <c r="E26" s="124"/>
      <c r="F26" s="124"/>
      <c r="G26" s="125"/>
      <c r="H26" s="33">
        <f>'📊 P&amp;L AUTO'!H32</f>
        <v>1610000</v>
      </c>
    </row>
    <row r="27" spans="1:8" ht="19.5" customHeight="1">
      <c r="A27" s="186" t="s">
        <v>557</v>
      </c>
      <c r="B27" s="124"/>
      <c r="C27" s="124"/>
      <c r="D27" s="124"/>
      <c r="E27" s="124"/>
      <c r="F27" s="124"/>
      <c r="G27" s="125"/>
      <c r="H27" s="32">
        <f>-IFERROR(SUM('👥 Partners'!I8:I12),0)</f>
        <v>0</v>
      </c>
    </row>
    <row r="28" spans="1:8" ht="24" customHeight="1">
      <c r="A28" s="253" t="s">
        <v>558</v>
      </c>
      <c r="B28" s="124"/>
      <c r="C28" s="124"/>
      <c r="D28" s="124"/>
      <c r="E28" s="124"/>
      <c r="F28" s="124"/>
      <c r="G28" s="125"/>
      <c r="H28" s="40">
        <f>SUM(H25:H27)</f>
        <v>3610000</v>
      </c>
    </row>
    <row r="29" spans="1:8" ht="24" customHeight="1">
      <c r="A29" s="185" t="s">
        <v>559</v>
      </c>
      <c r="B29" s="124"/>
      <c r="C29" s="124"/>
      <c r="D29" s="124"/>
      <c r="E29" s="124"/>
      <c r="F29" s="124"/>
      <c r="G29" s="125"/>
      <c r="H29" s="34">
        <f ca="1">H22+H28</f>
        <v>129100400</v>
      </c>
    </row>
    <row r="30" spans="1:8" ht="15.75" customHeight="1"/>
    <row r="31" spans="1:8" ht="27.75" customHeight="1">
      <c r="A31" s="254" t="s">
        <v>560</v>
      </c>
      <c r="B31" s="124"/>
      <c r="C31" s="124"/>
      <c r="D31" s="124"/>
      <c r="E31" s="124"/>
      <c r="F31" s="124"/>
      <c r="G31" s="125"/>
      <c r="H31" s="41" t="str">
        <f ca="1">IF(ABS(H15-H29)&lt;1,"BALANCED","OUT OF BALANCE")</f>
        <v>OUT OF BALANCE</v>
      </c>
    </row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R1"/>
    <mergeCell ref="A2:R2"/>
    <mergeCell ref="A3:H3"/>
    <mergeCell ref="A4:H4"/>
    <mergeCell ref="A5:G5"/>
    <mergeCell ref="A6:G6"/>
    <mergeCell ref="A7:G7"/>
    <mergeCell ref="A8:G8"/>
    <mergeCell ref="A10:H10"/>
    <mergeCell ref="A11:G11"/>
    <mergeCell ref="A12:G12"/>
    <mergeCell ref="A13:G13"/>
    <mergeCell ref="A14:G14"/>
    <mergeCell ref="A15:G15"/>
    <mergeCell ref="A25:G25"/>
    <mergeCell ref="A17:H17"/>
    <mergeCell ref="A18:H18"/>
    <mergeCell ref="A19:G19"/>
    <mergeCell ref="A20:G20"/>
    <mergeCell ref="A21:G21"/>
    <mergeCell ref="A22:G22"/>
    <mergeCell ref="A24:H24"/>
    <mergeCell ref="A26:G26"/>
    <mergeCell ref="A27:G27"/>
    <mergeCell ref="A28:G28"/>
    <mergeCell ref="A29:G29"/>
    <mergeCell ref="A31:G31"/>
  </mergeCells>
  <pageMargins left="0.5" right="0.5" top="0.75" bottom="0.75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1000"/>
  <sheetViews>
    <sheetView showGridLines="0" topLeftCell="A4" workbookViewId="0">
      <selection activeCell="G40" sqref="G40"/>
    </sheetView>
  </sheetViews>
  <sheetFormatPr defaultColWidth="14.42578125" defaultRowHeight="15" customHeight="1"/>
  <cols>
    <col min="1" max="1" width="10" customWidth="1"/>
    <col min="2" max="2" width="14" customWidth="1"/>
    <col min="3" max="3" width="8" customWidth="1"/>
    <col min="4" max="4" width="10" customWidth="1"/>
    <col min="5" max="5" width="16" customWidth="1"/>
    <col min="6" max="6" width="12" customWidth="1"/>
    <col min="7" max="7" width="22" customWidth="1"/>
    <col min="8" max="8" width="12" customWidth="1"/>
    <col min="9" max="10" width="16" customWidth="1"/>
    <col min="11" max="11" width="10" customWidth="1"/>
    <col min="12" max="26" width="8.7109375" customWidth="1"/>
  </cols>
  <sheetData>
    <row r="1" spans="1:20" ht="37.5" customHeight="1">
      <c r="A1" s="132" t="s">
        <v>578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20" ht="18" customHeight="1">
      <c r="A2" s="133" t="s">
        <v>579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20" ht="19.5" customHeight="1">
      <c r="A3" s="144" t="s">
        <v>580</v>
      </c>
      <c r="B3" s="124"/>
      <c r="C3" s="124"/>
      <c r="D3" s="124"/>
      <c r="E3" s="125"/>
      <c r="F3" s="154" t="s">
        <v>581</v>
      </c>
      <c r="G3" s="124"/>
      <c r="H3" s="124"/>
      <c r="I3" s="124"/>
      <c r="J3" s="125"/>
      <c r="K3" s="139" t="s">
        <v>145</v>
      </c>
      <c r="L3" s="124"/>
      <c r="M3" s="124"/>
      <c r="N3" s="124"/>
      <c r="O3" s="125"/>
      <c r="P3" s="143" t="s">
        <v>369</v>
      </c>
      <c r="Q3" s="124"/>
      <c r="R3" s="124"/>
      <c r="S3" s="124"/>
      <c r="T3" s="125"/>
    </row>
    <row r="4" spans="1:20" ht="36" customHeight="1">
      <c r="A4" s="182">
        <f>SUMIF('🏘️ Flat Register'!L:L,"Sold",'🏘️ Flat Register'!H:H)</f>
        <v>5670000</v>
      </c>
      <c r="B4" s="124"/>
      <c r="C4" s="124"/>
      <c r="D4" s="124"/>
      <c r="E4" s="125"/>
      <c r="F4" s="183">
        <f>SUM('💳 PAYMENTS Entery'!H11:H49967)</f>
        <v>2580000</v>
      </c>
      <c r="G4" s="124"/>
      <c r="H4" s="124"/>
      <c r="I4" s="124"/>
      <c r="J4" s="125"/>
      <c r="K4" s="181">
        <f>A4-F4</f>
        <v>3090000</v>
      </c>
      <c r="L4" s="124"/>
      <c r="M4" s="124"/>
      <c r="N4" s="124"/>
      <c r="O4" s="125"/>
      <c r="P4" s="255">
        <f>IFERROR(F4/A4,0)</f>
        <v>0.455026455026455</v>
      </c>
      <c r="Q4" s="124"/>
      <c r="R4" s="124"/>
      <c r="S4" s="124"/>
      <c r="T4" s="125"/>
    </row>
    <row r="6" spans="1:20" ht="21.75" customHeight="1">
      <c r="A6" s="136" t="s">
        <v>582</v>
      </c>
      <c r="B6" s="124"/>
      <c r="C6" s="124"/>
      <c r="D6" s="124"/>
      <c r="E6" s="124"/>
      <c r="F6" s="124"/>
      <c r="G6" s="124"/>
      <c r="H6" s="124"/>
      <c r="I6" s="124"/>
      <c r="J6" s="124"/>
      <c r="K6" s="125"/>
    </row>
    <row r="7" spans="1:20" ht="21.75" customHeight="1">
      <c r="A7" s="1" t="s">
        <v>371</v>
      </c>
      <c r="B7" s="1" t="s">
        <v>583</v>
      </c>
      <c r="C7" s="1" t="s">
        <v>584</v>
      </c>
      <c r="D7" s="1" t="s">
        <v>585</v>
      </c>
      <c r="E7" s="1" t="s">
        <v>586</v>
      </c>
      <c r="F7" s="1" t="s">
        <v>41</v>
      </c>
      <c r="G7" s="1" t="s">
        <v>31</v>
      </c>
      <c r="H7" s="1" t="s">
        <v>587</v>
      </c>
      <c r="I7" s="1" t="s">
        <v>34</v>
      </c>
      <c r="J7" s="1" t="s">
        <v>35</v>
      </c>
      <c r="K7" s="1" t="s">
        <v>588</v>
      </c>
    </row>
    <row r="8" spans="1:20" ht="18" customHeight="1">
      <c r="A8" s="8" t="s">
        <v>649</v>
      </c>
      <c r="B8" s="42" t="str">
        <f>IFERROR(VLOOKUP(A8,'🏘️ Flat Register'!A:C,3,0),"")</f>
        <v/>
      </c>
      <c r="C8" s="42">
        <f>IFERROR(VLOOKUP(A8,'🏘️ Flat Register'!A:D,4,0),0)</f>
        <v>0</v>
      </c>
      <c r="D8" s="42">
        <f>IFERROR(VLOOKUP(A8,'🏘️ Flat Register'!A:F,6,0),0)</f>
        <v>0</v>
      </c>
      <c r="E8" s="43">
        <f>IFERROR(VLOOKUP(A8,'🏘️ Flat Register'!A:H,8,0),0)</f>
        <v>0</v>
      </c>
      <c r="F8" s="42" t="str">
        <f>IFERROR(VLOOKUP(A8,'🏘️ Flat Register'!A:L,9,0),"")</f>
        <v/>
      </c>
      <c r="G8" s="42" t="str">
        <f>IFERROR(VLOOKUP(A8,'🏘️ Flat Register'!A:N,11,0),"")</f>
        <v/>
      </c>
      <c r="H8" s="44" t="str">
        <f>IFERROR(VLOOKUP(A8,'🏘️ Flat Register'!A:O,12,0),"")</f>
        <v/>
      </c>
      <c r="I8" s="43">
        <f>IFERROR(SUMIF('💳 PAYMENTS Entery'!G:G,A8,'💳 PAYMENTS Entery'!H:H),0)</f>
        <v>0</v>
      </c>
      <c r="J8" s="43">
        <f t="shared" ref="J8:J12" si="0">IFERROR(E8-I8,0)</f>
        <v>0</v>
      </c>
      <c r="K8" s="45">
        <f t="shared" ref="K8:K12" si="1">IFERROR(I8/E8,0)</f>
        <v>0</v>
      </c>
    </row>
    <row r="9" spans="1:20" ht="18" customHeight="1">
      <c r="A9" s="11" t="s">
        <v>650</v>
      </c>
      <c r="B9" s="46" t="str">
        <f>IFERROR(VLOOKUP(A9,'🏘️ Flat Register'!A:C,3,0),"")</f>
        <v/>
      </c>
      <c r="C9" s="46">
        <f>IFERROR(VLOOKUP(A9,'🏘️ Flat Register'!A:D,4,0),0)</f>
        <v>0</v>
      </c>
      <c r="D9" s="46">
        <f>IFERROR(VLOOKUP(A9,'🏘️ Flat Register'!A:F,6,0),0)</f>
        <v>0</v>
      </c>
      <c r="E9" s="47">
        <f>IFERROR(VLOOKUP(A9,'🏘️ Flat Register'!A:H,8,0),0)</f>
        <v>0</v>
      </c>
      <c r="F9" s="46" t="str">
        <f>IFERROR(VLOOKUP(A9,'🏘️ Flat Register'!A:L,9,0),"")</f>
        <v/>
      </c>
      <c r="G9" s="46" t="str">
        <f>IFERROR(VLOOKUP(A9,'🏘️ Flat Register'!A:N,11,0),"")</f>
        <v/>
      </c>
      <c r="H9" s="48" t="str">
        <f>IFERROR(VLOOKUP(A9,'🏘️ Flat Register'!A:O,12,0),"")</f>
        <v/>
      </c>
      <c r="I9" s="47">
        <f>IFERROR(SUMIF('💳 PAYMENTS Entery'!G:G,A9,'💳 PAYMENTS Entery'!H:H),0)</f>
        <v>0</v>
      </c>
      <c r="J9" s="47">
        <f t="shared" si="0"/>
        <v>0</v>
      </c>
      <c r="K9" s="49">
        <f t="shared" si="1"/>
        <v>0</v>
      </c>
    </row>
    <row r="10" spans="1:20" ht="18" customHeight="1">
      <c r="A10" s="8" t="s">
        <v>157</v>
      </c>
      <c r="B10" s="42" t="str">
        <f>IFERROR(VLOOKUP(A10,'🏘️ Flat Register'!A:C,3,0),"")</f>
        <v/>
      </c>
      <c r="C10" s="42">
        <f>IFERROR(VLOOKUP(A10,'🏘️ Flat Register'!A:D,4,0),0)</f>
        <v>0</v>
      </c>
      <c r="D10" s="42">
        <f>IFERROR(VLOOKUP(A10,'🏘️ Flat Register'!A:F,6,0),0)</f>
        <v>0</v>
      </c>
      <c r="E10" s="43">
        <f>IFERROR(VLOOKUP(A10,'🏘️ Flat Register'!A:H,8,0),0)</f>
        <v>0</v>
      </c>
      <c r="F10" s="42" t="str">
        <f>IFERROR(VLOOKUP(A10,'🏘️ Flat Register'!A:L,9,0),"")</f>
        <v/>
      </c>
      <c r="G10" s="42" t="str">
        <f>IFERROR(VLOOKUP(A10,'🏘️ Flat Register'!A:N,11,0),"")</f>
        <v/>
      </c>
      <c r="H10" s="44" t="str">
        <f>IFERROR(VLOOKUP(A10,'🏘️ Flat Register'!A:O,12,0),"")</f>
        <v/>
      </c>
      <c r="I10" s="43">
        <f>IFERROR(SUMIF('💳 PAYMENTS Entery'!G:G,A10,'💳 PAYMENTS Entery'!H:H),0)</f>
        <v>0</v>
      </c>
      <c r="J10" s="43">
        <f t="shared" si="0"/>
        <v>0</v>
      </c>
      <c r="K10" s="45">
        <f t="shared" si="1"/>
        <v>0</v>
      </c>
    </row>
    <row r="11" spans="1:20" ht="18" customHeight="1">
      <c r="A11" s="11" t="s">
        <v>160</v>
      </c>
      <c r="B11" s="46" t="str">
        <f>IFERROR(VLOOKUP(A11,'🏘️ Flat Register'!A:C,3,0),"")</f>
        <v/>
      </c>
      <c r="C11" s="46">
        <f>IFERROR(VLOOKUP(A11,'🏘️ Flat Register'!A:D,4,0),0)</f>
        <v>0</v>
      </c>
      <c r="D11" s="46">
        <f>IFERROR(VLOOKUP(A11,'🏘️ Flat Register'!A:F,6,0),0)</f>
        <v>0</v>
      </c>
      <c r="E11" s="47">
        <f>IFERROR(VLOOKUP(A11,'🏘️ Flat Register'!A:H,8,0),0)</f>
        <v>0</v>
      </c>
      <c r="F11" s="46" t="str">
        <f>IFERROR(VLOOKUP(A11,'🏘️ Flat Register'!A:L,9,0),"")</f>
        <v/>
      </c>
      <c r="G11" s="46" t="str">
        <f>IFERROR(VLOOKUP(A11,'🏘️ Flat Register'!A:N,11,0),"")</f>
        <v/>
      </c>
      <c r="H11" s="48" t="str">
        <f>IFERROR(VLOOKUP(A11,'🏘️ Flat Register'!A:O,12,0),"")</f>
        <v/>
      </c>
      <c r="I11" s="47">
        <f>IFERROR(SUMIF('💳 PAYMENTS Entery'!G:G,A11,'💳 PAYMENTS Entery'!H:H),0)</f>
        <v>0</v>
      </c>
      <c r="J11" s="47">
        <f t="shared" si="0"/>
        <v>0</v>
      </c>
      <c r="K11" s="49">
        <f t="shared" si="1"/>
        <v>0</v>
      </c>
    </row>
    <row r="12" spans="1:20" ht="18" customHeight="1">
      <c r="A12" s="8" t="s">
        <v>165</v>
      </c>
      <c r="B12" s="42" t="str">
        <f>IFERROR(VLOOKUP(A12,'🏘️ Flat Register'!A:C,3,0),"")</f>
        <v/>
      </c>
      <c r="C12" s="42">
        <f>IFERROR(VLOOKUP(A12,'🏘️ Flat Register'!A:D,4,0),0)</f>
        <v>0</v>
      </c>
      <c r="D12" s="42">
        <f>IFERROR(VLOOKUP(A12,'🏘️ Flat Register'!A:F,6,0),0)</f>
        <v>0</v>
      </c>
      <c r="E12" s="43">
        <f>IFERROR(VLOOKUP(A12,'🏘️ Flat Register'!A:H,8,0),0)</f>
        <v>0</v>
      </c>
      <c r="F12" s="42" t="str">
        <f>IFERROR(VLOOKUP(A12,'🏘️ Flat Register'!A:L,9,0),"")</f>
        <v/>
      </c>
      <c r="G12" s="42" t="str">
        <f>IFERROR(VLOOKUP(A12,'🏘️ Flat Register'!A:N,11,0),"")</f>
        <v/>
      </c>
      <c r="H12" s="44" t="str">
        <f>IFERROR(VLOOKUP(A12,'🏘️ Flat Register'!A:O,12,0),"")</f>
        <v/>
      </c>
      <c r="I12" s="43">
        <f>IFERROR(SUMIF('💳 PAYMENTS Entery'!G:G,A12,'💳 PAYMENTS Entery'!H:H),0)</f>
        <v>0</v>
      </c>
      <c r="J12" s="43">
        <f t="shared" si="0"/>
        <v>0</v>
      </c>
      <c r="K12" s="45">
        <f t="shared" si="1"/>
        <v>0</v>
      </c>
    </row>
    <row r="13" spans="1:20" ht="15" customHeight="1">
      <c r="A13" s="8" t="s">
        <v>651</v>
      </c>
      <c r="B13" s="42" t="str">
        <f>IFERROR(VLOOKUP(A13,'🏘️ Flat Register'!A:C,3,0),"")</f>
        <v/>
      </c>
      <c r="C13" s="42">
        <f>IFERROR(VLOOKUP(A13,'🏘️ Flat Register'!A:D,4,0),0)</f>
        <v>0</v>
      </c>
      <c r="D13" s="42">
        <f>IFERROR(VLOOKUP(A13,'🏘️ Flat Register'!A:F,6,0),0)</f>
        <v>0</v>
      </c>
      <c r="E13" s="43">
        <f>IFERROR(VLOOKUP(A13,'🏘️ Flat Register'!A:H,8,0),0)</f>
        <v>0</v>
      </c>
      <c r="F13" s="42" t="str">
        <f>IFERROR(VLOOKUP(A13,'🏘️ Flat Register'!A:L,9,0),"")</f>
        <v/>
      </c>
      <c r="G13" s="42" t="str">
        <f>IFERROR(VLOOKUP(A13,'🏘️ Flat Register'!A:N,11,0),"")</f>
        <v/>
      </c>
      <c r="H13" s="44" t="str">
        <f>IFERROR(VLOOKUP(A13,'🏘️ Flat Register'!A:O,12,0),"")</f>
        <v/>
      </c>
      <c r="I13" s="43">
        <f>IFERROR(SUMIF('💳 PAYMENTS Entery'!G:G,A13,'💳 PAYMENTS Entery'!H:H),0)</f>
        <v>0</v>
      </c>
      <c r="J13" s="43">
        <f t="shared" ref="J13:J18" si="2">IFERROR(E13-I13,0)</f>
        <v>0</v>
      </c>
      <c r="K13" s="45">
        <f t="shared" ref="K13:K18" si="3">IFERROR(I13/E13,0)</f>
        <v>0</v>
      </c>
    </row>
    <row r="14" spans="1:20" ht="15" customHeight="1">
      <c r="A14" s="8" t="s">
        <v>652</v>
      </c>
      <c r="B14" s="42" t="str">
        <f>IFERROR(VLOOKUP(A14,'🏘️ Flat Register'!A:C,3,0),"")</f>
        <v/>
      </c>
      <c r="C14" s="42">
        <f>IFERROR(VLOOKUP(A14,'🏘️ Flat Register'!A:D,4,0),0)</f>
        <v>0</v>
      </c>
      <c r="D14" s="42">
        <f>IFERROR(VLOOKUP(A14,'🏘️ Flat Register'!A:F,6,0),0)</f>
        <v>0</v>
      </c>
      <c r="E14" s="43">
        <f>IFERROR(VLOOKUP(A14,'🏘️ Flat Register'!A:H,8,0),0)</f>
        <v>0</v>
      </c>
      <c r="F14" s="42" t="str">
        <f>IFERROR(VLOOKUP(A14,'🏘️ Flat Register'!A:L,9,0),"")</f>
        <v/>
      </c>
      <c r="G14" s="42" t="str">
        <f>IFERROR(VLOOKUP(A14,'🏘️ Flat Register'!A:N,11,0),"")</f>
        <v/>
      </c>
      <c r="H14" s="44" t="str">
        <f>IFERROR(VLOOKUP(A14,'🏘️ Flat Register'!A:O,12,0),"")</f>
        <v/>
      </c>
      <c r="I14" s="43">
        <f>IFERROR(SUMIF('💳 PAYMENTS Entery'!G:G,A14,'💳 PAYMENTS Entery'!H:H),0)</f>
        <v>0</v>
      </c>
      <c r="J14" s="43">
        <f t="shared" si="2"/>
        <v>0</v>
      </c>
      <c r="K14" s="45">
        <f t="shared" si="3"/>
        <v>0</v>
      </c>
    </row>
    <row r="15" spans="1:20" ht="15" customHeight="1">
      <c r="A15" s="8" t="s">
        <v>653</v>
      </c>
      <c r="B15" s="42" t="str">
        <f>IFERROR(VLOOKUP(A15,'🏘️ Flat Register'!A:C,3,0),"")</f>
        <v/>
      </c>
      <c r="C15" s="42">
        <f>IFERROR(VLOOKUP(A15,'🏘️ Flat Register'!A:D,4,0),0)</f>
        <v>0</v>
      </c>
      <c r="D15" s="42">
        <f>IFERROR(VLOOKUP(A15,'🏘️ Flat Register'!A:F,6,0),0)</f>
        <v>0</v>
      </c>
      <c r="E15" s="43">
        <f>IFERROR(VLOOKUP(A15,'🏘️ Flat Register'!A:H,8,0),0)</f>
        <v>0</v>
      </c>
      <c r="F15" s="42" t="str">
        <f>IFERROR(VLOOKUP(A15,'🏘️ Flat Register'!A:L,9,0),"")</f>
        <v/>
      </c>
      <c r="G15" s="42" t="str">
        <f>IFERROR(VLOOKUP(A15,'🏘️ Flat Register'!A:N,11,0),"")</f>
        <v/>
      </c>
      <c r="H15" s="44" t="str">
        <f>IFERROR(VLOOKUP(A15,'🏘️ Flat Register'!A:O,12,0),"")</f>
        <v/>
      </c>
      <c r="I15" s="43">
        <f>IFERROR(SUMIF('💳 PAYMENTS Entery'!G:G,A15,'💳 PAYMENTS Entery'!H:H),0)</f>
        <v>0</v>
      </c>
      <c r="J15" s="43">
        <f t="shared" si="2"/>
        <v>0</v>
      </c>
      <c r="K15" s="45">
        <f t="shared" si="3"/>
        <v>0</v>
      </c>
    </row>
    <row r="16" spans="1:20" ht="15" customHeight="1">
      <c r="A16" s="8" t="s">
        <v>654</v>
      </c>
      <c r="B16" s="42" t="str">
        <f>IFERROR(VLOOKUP(A16,'🏘️ Flat Register'!A:C,3,0),"")</f>
        <v/>
      </c>
      <c r="C16" s="42">
        <f>IFERROR(VLOOKUP(A16,'🏘️ Flat Register'!A:D,4,0),0)</f>
        <v>0</v>
      </c>
      <c r="D16" s="42">
        <f>IFERROR(VLOOKUP(A16,'🏘️ Flat Register'!A:F,6,0),0)</f>
        <v>0</v>
      </c>
      <c r="E16" s="43">
        <f>IFERROR(VLOOKUP(A16,'🏘️ Flat Register'!A:H,8,0),0)</f>
        <v>0</v>
      </c>
      <c r="F16" s="42" t="str">
        <f>IFERROR(VLOOKUP(A16,'🏘️ Flat Register'!A:L,9,0),"")</f>
        <v/>
      </c>
      <c r="G16" s="42" t="str">
        <f>IFERROR(VLOOKUP(A16,'🏘️ Flat Register'!A:N,11,0),"")</f>
        <v/>
      </c>
      <c r="H16" s="44" t="str">
        <f>IFERROR(VLOOKUP(A16,'🏘️ Flat Register'!A:O,12,0),"")</f>
        <v/>
      </c>
      <c r="I16" s="43">
        <f>IFERROR(SUMIF('💳 PAYMENTS Entery'!G:G,A16,'💳 PAYMENTS Entery'!H:H),0)</f>
        <v>0</v>
      </c>
      <c r="J16" s="43">
        <f t="shared" si="2"/>
        <v>0</v>
      </c>
      <c r="K16" s="45">
        <f t="shared" si="3"/>
        <v>0</v>
      </c>
    </row>
    <row r="17" spans="1:11" ht="15" customHeight="1">
      <c r="A17" s="8" t="s">
        <v>655</v>
      </c>
      <c r="B17" s="42" t="str">
        <f>IFERROR(VLOOKUP(A17,'🏘️ Flat Register'!A:C,3,0),"")</f>
        <v/>
      </c>
      <c r="C17" s="42">
        <f>IFERROR(VLOOKUP(A17,'🏘️ Flat Register'!A:D,4,0),0)</f>
        <v>0</v>
      </c>
      <c r="D17" s="42">
        <f>IFERROR(VLOOKUP(A17,'🏘️ Flat Register'!A:F,6,0),0)</f>
        <v>0</v>
      </c>
      <c r="E17" s="43">
        <f>IFERROR(VLOOKUP(A17,'🏘️ Flat Register'!A:H,8,0),0)</f>
        <v>0</v>
      </c>
      <c r="F17" s="42" t="str">
        <f>IFERROR(VLOOKUP(A17,'🏘️ Flat Register'!A:L,9,0),"")</f>
        <v/>
      </c>
      <c r="G17" s="42" t="str">
        <f>IFERROR(VLOOKUP(A17,'🏘️ Flat Register'!A:N,11,0),"")</f>
        <v/>
      </c>
      <c r="H17" s="44" t="str">
        <f>IFERROR(VLOOKUP(A17,'🏘️ Flat Register'!A:O,12,0),"")</f>
        <v/>
      </c>
      <c r="I17" s="43">
        <f>IFERROR(SUMIF('💳 PAYMENTS Entery'!G:G,A17,'💳 PAYMENTS Entery'!H:H),0)</f>
        <v>0</v>
      </c>
      <c r="J17" s="43">
        <f t="shared" si="2"/>
        <v>0</v>
      </c>
      <c r="K17" s="45">
        <f t="shared" si="3"/>
        <v>0</v>
      </c>
    </row>
    <row r="18" spans="1:11" ht="15" customHeight="1">
      <c r="A18" s="8" t="s">
        <v>656</v>
      </c>
      <c r="B18" s="42" t="str">
        <f>IFERROR(VLOOKUP(A18,'🏘️ Flat Register'!A:C,3,0),"")</f>
        <v/>
      </c>
      <c r="C18" s="42">
        <f>IFERROR(VLOOKUP(A18,'🏘️ Flat Register'!A:D,4,0),0)</f>
        <v>0</v>
      </c>
      <c r="D18" s="42">
        <f>IFERROR(VLOOKUP(A18,'🏘️ Flat Register'!A:F,6,0),0)</f>
        <v>0</v>
      </c>
      <c r="E18" s="43">
        <f>IFERROR(VLOOKUP(A18,'🏘️ Flat Register'!A:H,8,0),0)</f>
        <v>0</v>
      </c>
      <c r="F18" s="42" t="str">
        <f>IFERROR(VLOOKUP(A18,'🏘️ Flat Register'!A:L,9,0),"")</f>
        <v/>
      </c>
      <c r="G18" s="42" t="str">
        <f>IFERROR(VLOOKUP(A18,'🏘️ Flat Register'!A:N,11,0),"")</f>
        <v/>
      </c>
      <c r="H18" s="44" t="str">
        <f>IFERROR(VLOOKUP(A18,'🏘️ Flat Register'!A:O,12,0),"")</f>
        <v/>
      </c>
      <c r="I18" s="43">
        <f>IFERROR(SUMIF('💳 PAYMENTS Entery'!G:G,A18,'💳 PAYMENTS Entery'!H:H),0)</f>
        <v>0</v>
      </c>
      <c r="J18" s="43">
        <f t="shared" si="2"/>
        <v>0</v>
      </c>
      <c r="K18" s="45">
        <f t="shared" si="3"/>
        <v>0</v>
      </c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4:J4"/>
    <mergeCell ref="K4:O4"/>
    <mergeCell ref="A6:K6"/>
    <mergeCell ref="A1:R1"/>
    <mergeCell ref="A2:R2"/>
    <mergeCell ref="A3:E3"/>
    <mergeCell ref="F3:J3"/>
    <mergeCell ref="K3:O3"/>
    <mergeCell ref="P3:T3"/>
    <mergeCell ref="A4:E4"/>
    <mergeCell ref="P4:T4"/>
  </mergeCells>
  <pageMargins left="0.5" right="0.5" top="0.75" bottom="0.75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pane ySplit="3" topLeftCell="A4" activePane="bottomLeft" state="frozen"/>
      <selection pane="bottomLeft" activeCell="B7" sqref="B7"/>
    </sheetView>
  </sheetViews>
  <sheetFormatPr defaultColWidth="14.42578125" defaultRowHeight="15" customHeight="1"/>
  <cols>
    <col min="1" max="1" width="10" customWidth="1"/>
    <col min="2" max="2" width="18" customWidth="1"/>
    <col min="3" max="3" width="16" customWidth="1"/>
    <col min="4" max="4" width="22" customWidth="1"/>
    <col min="5" max="5" width="14" customWidth="1"/>
    <col min="6" max="6" width="12" customWidth="1"/>
    <col min="7" max="7" width="18" customWidth="1"/>
    <col min="8" max="9" width="24" customWidth="1"/>
    <col min="10" max="10" width="14" customWidth="1"/>
    <col min="11" max="11" width="28" customWidth="1"/>
    <col min="12" max="26" width="8.7109375" customWidth="1"/>
  </cols>
  <sheetData>
    <row r="1" spans="1:18" ht="37.5" customHeight="1">
      <c r="A1" s="132" t="s">
        <v>589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124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1.75" customHeight="1">
      <c r="A3" s="1" t="s">
        <v>590</v>
      </c>
      <c r="B3" s="1" t="s">
        <v>591</v>
      </c>
      <c r="C3" s="1" t="s">
        <v>592</v>
      </c>
      <c r="D3" s="1" t="s">
        <v>593</v>
      </c>
      <c r="E3" s="1" t="s">
        <v>594</v>
      </c>
      <c r="F3" s="1" t="s">
        <v>595</v>
      </c>
      <c r="G3" s="1" t="s">
        <v>596</v>
      </c>
      <c r="H3" s="1" t="s">
        <v>597</v>
      </c>
      <c r="I3" s="1" t="s">
        <v>598</v>
      </c>
      <c r="J3" s="1" t="s">
        <v>599</v>
      </c>
      <c r="K3" s="1" t="s">
        <v>156</v>
      </c>
    </row>
    <row r="4" spans="1:18" ht="19.5" customHeight="1">
      <c r="A4" s="17" t="s">
        <v>600</v>
      </c>
      <c r="B4" s="17" t="s">
        <v>601</v>
      </c>
      <c r="C4" s="17" t="s">
        <v>602</v>
      </c>
      <c r="D4" s="17" t="s">
        <v>427</v>
      </c>
      <c r="E4" s="17" t="s">
        <v>428</v>
      </c>
      <c r="F4" s="17" t="s">
        <v>603</v>
      </c>
      <c r="G4" s="17" t="s">
        <v>604</v>
      </c>
      <c r="H4" s="17" t="s">
        <v>605</v>
      </c>
      <c r="I4" s="17" t="s">
        <v>606</v>
      </c>
      <c r="J4" s="17" t="s">
        <v>607</v>
      </c>
      <c r="K4" s="17" t="s">
        <v>608</v>
      </c>
    </row>
    <row r="5" spans="1:18" ht="19.5" customHeight="1">
      <c r="A5" s="22" t="s">
        <v>609</v>
      </c>
      <c r="B5" s="22" t="s">
        <v>610</v>
      </c>
      <c r="C5" s="22" t="s">
        <v>602</v>
      </c>
      <c r="D5" s="22" t="s">
        <v>427</v>
      </c>
      <c r="E5" s="22" t="s">
        <v>473</v>
      </c>
      <c r="F5" s="22" t="s">
        <v>603</v>
      </c>
      <c r="G5" s="22" t="s">
        <v>604</v>
      </c>
      <c r="H5" s="22" t="s">
        <v>605</v>
      </c>
      <c r="I5" s="22" t="s">
        <v>611</v>
      </c>
      <c r="J5" s="22" t="s">
        <v>607</v>
      </c>
      <c r="K5" s="22" t="s">
        <v>608</v>
      </c>
    </row>
    <row r="6" spans="1:18" ht="19.5" customHeight="1">
      <c r="A6" s="17" t="s">
        <v>612</v>
      </c>
      <c r="B6" s="17" t="s">
        <v>613</v>
      </c>
      <c r="C6" s="17" t="s">
        <v>602</v>
      </c>
      <c r="D6" s="17" t="s">
        <v>430</v>
      </c>
      <c r="E6" s="17" t="s">
        <v>431</v>
      </c>
      <c r="F6" s="17" t="s">
        <v>603</v>
      </c>
      <c r="G6" s="17" t="s">
        <v>604</v>
      </c>
      <c r="H6" s="17" t="s">
        <v>605</v>
      </c>
      <c r="I6" s="17" t="s">
        <v>614</v>
      </c>
      <c r="J6" s="17" t="s">
        <v>607</v>
      </c>
      <c r="K6" s="17" t="s">
        <v>615</v>
      </c>
    </row>
    <row r="7" spans="1:18" ht="19.5" customHeight="1">
      <c r="A7" s="22" t="s">
        <v>616</v>
      </c>
      <c r="B7" s="22" t="s">
        <v>617</v>
      </c>
      <c r="C7" s="22" t="s">
        <v>602</v>
      </c>
      <c r="D7" s="22" t="s">
        <v>430</v>
      </c>
      <c r="E7" s="22" t="s">
        <v>486</v>
      </c>
      <c r="F7" s="22" t="s">
        <v>603</v>
      </c>
      <c r="G7" s="22" t="s">
        <v>604</v>
      </c>
      <c r="H7" s="22" t="s">
        <v>605</v>
      </c>
      <c r="I7" s="22" t="s">
        <v>618</v>
      </c>
      <c r="J7" s="22" t="s">
        <v>607</v>
      </c>
      <c r="K7" s="22" t="s">
        <v>615</v>
      </c>
    </row>
    <row r="8" spans="1:18" ht="19.5" customHeight="1">
      <c r="A8" s="17" t="s">
        <v>619</v>
      </c>
      <c r="B8" s="17" t="s">
        <v>620</v>
      </c>
      <c r="C8" s="17" t="s">
        <v>602</v>
      </c>
      <c r="D8" s="17" t="s">
        <v>621</v>
      </c>
      <c r="E8" s="17" t="s">
        <v>163</v>
      </c>
      <c r="F8" s="17" t="s">
        <v>622</v>
      </c>
      <c r="G8" s="17" t="s">
        <v>41</v>
      </c>
      <c r="H8" s="17" t="s">
        <v>142</v>
      </c>
      <c r="I8" s="17" t="s">
        <v>164</v>
      </c>
      <c r="J8" s="17" t="s">
        <v>607</v>
      </c>
      <c r="K8" s="17" t="s">
        <v>623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K3"/>
  <mergeCells count="2">
    <mergeCell ref="A1:R1"/>
    <mergeCell ref="A2:R2"/>
  </mergeCells>
  <conditionalFormatting sqref="F4:F1000">
    <cfRule type="cellIs" dxfId="5" priority="1" operator="equal">
      <formula>"INSERT"</formula>
    </cfRule>
  </conditionalFormatting>
  <conditionalFormatting sqref="F4:F1000">
    <cfRule type="cellIs" dxfId="4" priority="2" operator="equal">
      <formula>"UPDATE"</formula>
    </cfRule>
  </conditionalFormatting>
  <conditionalFormatting sqref="F4:F1000">
    <cfRule type="cellIs" dxfId="3" priority="3" operator="equal">
      <formula>"DELETE"</formula>
    </cfRule>
  </conditionalFormatting>
  <pageMargins left="0.5" right="0.5" top="0.75" bottom="0.75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1000"/>
  <sheetViews>
    <sheetView showGridLines="0" workbookViewId="0">
      <pane ySplit="10" topLeftCell="A11" activePane="bottomLeft" state="frozen"/>
      <selection pane="bottomLeft" activeCell="H11" sqref="H11"/>
    </sheetView>
  </sheetViews>
  <sheetFormatPr defaultColWidth="14.42578125" defaultRowHeight="15" customHeight="1"/>
  <cols>
    <col min="1" max="1" width="14" customWidth="1"/>
    <col min="2" max="2" width="10" customWidth="1"/>
    <col min="3" max="4" width="12" customWidth="1"/>
    <col min="5" max="6" width="18" customWidth="1"/>
    <col min="7" max="7" width="24" customWidth="1"/>
    <col min="8" max="8" width="18" customWidth="1"/>
    <col min="9" max="9" width="16" customWidth="1"/>
    <col min="10" max="10" width="29.7109375" bestFit="1" customWidth="1"/>
    <col min="11" max="11" width="10" customWidth="1"/>
    <col min="12" max="13" width="14" customWidth="1"/>
    <col min="14" max="14" width="32" customWidth="1"/>
    <col min="15" max="26" width="8.7109375" customWidth="1"/>
  </cols>
  <sheetData>
    <row r="1" spans="1:20" ht="37.5" customHeight="1">
      <c r="A1" s="132" t="s">
        <v>288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</row>
    <row r="2" spans="1:20" ht="18" customHeight="1">
      <c r="A2" s="133" t="s">
        <v>289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5"/>
    </row>
    <row r="3" spans="1:20" ht="27.75" customHeight="1">
      <c r="A3" s="240" t="s">
        <v>290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</row>
    <row r="4" spans="1:20" ht="19.5" customHeight="1">
      <c r="A4" s="139" t="s">
        <v>291</v>
      </c>
      <c r="B4" s="124"/>
      <c r="C4" s="124"/>
      <c r="D4" s="124"/>
      <c r="E4" s="125"/>
      <c r="F4" s="138" t="s">
        <v>200</v>
      </c>
      <c r="G4" s="124"/>
      <c r="H4" s="124"/>
      <c r="I4" s="124"/>
      <c r="J4" s="125"/>
      <c r="K4" s="154" t="s">
        <v>292</v>
      </c>
      <c r="L4" s="124"/>
      <c r="M4" s="124"/>
      <c r="N4" s="124"/>
      <c r="O4" s="125"/>
      <c r="P4" s="145" t="s">
        <v>273</v>
      </c>
      <c r="Q4" s="124"/>
      <c r="R4" s="124"/>
      <c r="S4" s="124"/>
      <c r="T4" s="125"/>
    </row>
    <row r="5" spans="1:20" ht="36" customHeight="1">
      <c r="A5" s="181">
        <f>SUM(J8:J50000)</f>
        <v>4060000</v>
      </c>
      <c r="B5" s="124"/>
      <c r="C5" s="124"/>
      <c r="D5" s="124"/>
      <c r="E5" s="125"/>
      <c r="F5" s="239">
        <f>IFERROR(SUMIF(E8:E50000,"Material",J8:J50000)+SUMIF(E8:E50000,"Labor",J8:J50000)+SUMIF(E8:E50000,"Contractor",J8:J50000),0)</f>
        <v>0</v>
      </c>
      <c r="G5" s="124"/>
      <c r="H5" s="124"/>
      <c r="I5" s="124"/>
      <c r="J5" s="125"/>
      <c r="K5" s="183">
        <f>IFERROR(SUMIF(E8:E50000,"Admin",J8:J50000)+SUMIF(E8:E50000,"Other",J8:J50000),0)</f>
        <v>4060000</v>
      </c>
      <c r="L5" s="124"/>
      <c r="M5" s="124"/>
      <c r="N5" s="124"/>
      <c r="O5" s="125"/>
      <c r="P5" s="256" t="e">
        <f ca="1">SUMPRODUCT((MONTH(C8:C5000)=MONTH(TODAY()))*(YEAR(C8:C5000)=YEAR(TODAY()))*J8:J5000)</f>
        <v>#VALUE!</v>
      </c>
      <c r="Q5" s="124"/>
      <c r="R5" s="124"/>
      <c r="S5" s="124"/>
      <c r="T5" s="125"/>
    </row>
    <row r="7" spans="1:20" ht="21.75" customHeight="1">
      <c r="A7" s="257" t="s">
        <v>293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5"/>
    </row>
    <row r="8" spans="1:20" ht="31.5" customHeight="1">
      <c r="A8" s="1" t="s">
        <v>294</v>
      </c>
      <c r="B8" s="1" t="s">
        <v>276</v>
      </c>
      <c r="C8" s="1" t="s">
        <v>277</v>
      </c>
      <c r="D8" s="1" t="s">
        <v>147</v>
      </c>
      <c r="E8" s="1" t="s">
        <v>295</v>
      </c>
      <c r="F8" s="1" t="s">
        <v>296</v>
      </c>
      <c r="G8" s="1" t="s">
        <v>297</v>
      </c>
      <c r="H8" s="1" t="s">
        <v>298</v>
      </c>
      <c r="I8" s="1" t="s">
        <v>299</v>
      </c>
      <c r="J8" s="1" t="s">
        <v>300</v>
      </c>
      <c r="K8" s="1" t="s">
        <v>301</v>
      </c>
      <c r="L8" s="1" t="s">
        <v>302</v>
      </c>
      <c r="M8" s="1" t="s">
        <v>303</v>
      </c>
      <c r="N8" s="1" t="s">
        <v>278</v>
      </c>
    </row>
    <row r="9" spans="1:20" ht="19.5" customHeight="1">
      <c r="A9" s="218" t="s">
        <v>304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5"/>
    </row>
    <row r="11" spans="1:20" ht="19.5" customHeight="1">
      <c r="A11" s="2" t="str">
        <f t="shared" ref="A11:A13" si="0">IF(B11&lt;&gt;"","PV-"&amp;TEXT(B11,"000"),"")</f>
        <v>PV-001</v>
      </c>
      <c r="B11" s="17">
        <v>1</v>
      </c>
      <c r="C11" s="18" t="s">
        <v>305</v>
      </c>
      <c r="D11" s="17" t="s">
        <v>117</v>
      </c>
      <c r="E11" s="17" t="s">
        <v>51</v>
      </c>
      <c r="F11" s="17" t="s">
        <v>687</v>
      </c>
      <c r="G11" s="17" t="s">
        <v>309</v>
      </c>
      <c r="H11" s="17" t="s">
        <v>140</v>
      </c>
      <c r="I11" s="19">
        <v>2000000</v>
      </c>
      <c r="J11" s="19">
        <v>2000000</v>
      </c>
      <c r="K11" s="19">
        <v>0</v>
      </c>
      <c r="L11" s="17" t="s">
        <v>306</v>
      </c>
      <c r="M11" s="17" t="s">
        <v>692</v>
      </c>
      <c r="N11" s="17" t="s">
        <v>688</v>
      </c>
    </row>
    <row r="12" spans="1:20" ht="19.5" customHeight="1">
      <c r="A12" s="5" t="str">
        <f t="shared" si="0"/>
        <v>PV-002</v>
      </c>
      <c r="B12" s="22">
        <v>2</v>
      </c>
      <c r="C12" s="18" t="s">
        <v>305</v>
      </c>
      <c r="D12" s="17" t="s">
        <v>117</v>
      </c>
      <c r="E12" s="17" t="s">
        <v>51</v>
      </c>
      <c r="F12" s="17" t="s">
        <v>687</v>
      </c>
      <c r="G12" s="17" t="s">
        <v>309</v>
      </c>
      <c r="H12" s="17" t="s">
        <v>140</v>
      </c>
      <c r="I12" s="19">
        <v>2000000</v>
      </c>
      <c r="J12" s="19">
        <v>2000000</v>
      </c>
      <c r="K12" s="19">
        <v>0</v>
      </c>
      <c r="L12" s="17" t="s">
        <v>306</v>
      </c>
      <c r="M12" s="17" t="s">
        <v>692</v>
      </c>
      <c r="N12" s="17" t="s">
        <v>688</v>
      </c>
    </row>
    <row r="13" spans="1:20" ht="19.5" customHeight="1">
      <c r="A13" s="2" t="str">
        <f t="shared" si="0"/>
        <v>PV-003</v>
      </c>
      <c r="B13" s="17">
        <v>3</v>
      </c>
      <c r="C13" s="18" t="s">
        <v>305</v>
      </c>
      <c r="D13" s="17"/>
      <c r="E13" s="17" t="s">
        <v>51</v>
      </c>
      <c r="F13" s="17" t="s">
        <v>689</v>
      </c>
      <c r="G13" s="17" t="s">
        <v>690</v>
      </c>
      <c r="H13" s="17" t="s">
        <v>205</v>
      </c>
      <c r="I13" s="19">
        <v>60000</v>
      </c>
      <c r="J13" s="19">
        <v>60000</v>
      </c>
      <c r="K13" s="19">
        <v>0</v>
      </c>
      <c r="L13" s="17" t="s">
        <v>691</v>
      </c>
      <c r="M13" s="17" t="s">
        <v>692</v>
      </c>
      <c r="N13" s="17" t="s">
        <v>688</v>
      </c>
    </row>
    <row r="14" spans="1:20">
      <c r="E14" s="20"/>
      <c r="H14" s="20"/>
    </row>
    <row r="15" spans="1:20">
      <c r="E15" s="20"/>
      <c r="H15" s="20"/>
    </row>
    <row r="16" spans="1:20">
      <c r="E16" s="20"/>
      <c r="H16" s="20"/>
    </row>
    <row r="17" spans="5:8">
      <c r="E17" s="20"/>
      <c r="H17" s="20"/>
    </row>
    <row r="18" spans="5:8">
      <c r="E18" s="20"/>
      <c r="H18" s="20"/>
    </row>
    <row r="19" spans="5:8">
      <c r="E19" s="20"/>
      <c r="H19" s="20"/>
    </row>
    <row r="20" spans="5:8">
      <c r="E20" s="20"/>
      <c r="H20" s="20"/>
    </row>
    <row r="21" spans="5:8" ht="15.75" customHeight="1">
      <c r="E21" s="20"/>
      <c r="H21" s="20"/>
    </row>
    <row r="22" spans="5:8" ht="15.75" customHeight="1">
      <c r="E22" s="20"/>
      <c r="H22" s="20"/>
    </row>
    <row r="23" spans="5:8" ht="15.75" customHeight="1">
      <c r="E23" s="20"/>
      <c r="H23" s="20"/>
    </row>
    <row r="24" spans="5:8" ht="15.75" customHeight="1">
      <c r="E24" s="20"/>
      <c r="H24" s="20"/>
    </row>
    <row r="25" spans="5:8" ht="15.75" customHeight="1">
      <c r="E25" s="20"/>
      <c r="H25" s="20"/>
    </row>
    <row r="26" spans="5:8" ht="15.75" customHeight="1">
      <c r="E26" s="20"/>
      <c r="H26" s="20"/>
    </row>
    <row r="27" spans="5:8" ht="15.75" customHeight="1">
      <c r="E27" s="20"/>
      <c r="H27" s="20"/>
    </row>
    <row r="28" spans="5:8" ht="15.75" customHeight="1">
      <c r="E28" s="20"/>
      <c r="H28" s="20"/>
    </row>
    <row r="29" spans="5:8" ht="15.75" customHeight="1">
      <c r="E29" s="20"/>
      <c r="H29" s="20"/>
    </row>
    <row r="30" spans="5:8" ht="15.75" customHeight="1">
      <c r="E30" s="20"/>
      <c r="H30" s="20"/>
    </row>
    <row r="31" spans="5:8" ht="15.75" customHeight="1">
      <c r="E31" s="20"/>
      <c r="H31" s="20"/>
    </row>
    <row r="32" spans="5:8" ht="15.75" customHeight="1">
      <c r="E32" s="20"/>
      <c r="H32" s="20"/>
    </row>
    <row r="33" spans="5:8" ht="15.75" customHeight="1">
      <c r="E33" s="20"/>
      <c r="H33" s="20"/>
    </row>
    <row r="34" spans="5:8" ht="15.75" customHeight="1">
      <c r="E34" s="20"/>
      <c r="H34" s="20"/>
    </row>
    <row r="35" spans="5:8" ht="15.75" customHeight="1">
      <c r="E35" s="20"/>
      <c r="H35" s="20"/>
    </row>
    <row r="36" spans="5:8" ht="15.75" customHeight="1">
      <c r="E36" s="20"/>
      <c r="H36" s="20"/>
    </row>
    <row r="37" spans="5:8" ht="15.75" customHeight="1">
      <c r="E37" s="20"/>
      <c r="H37" s="20"/>
    </row>
    <row r="38" spans="5:8" ht="15.75" customHeight="1">
      <c r="E38" s="20"/>
      <c r="H38" s="20"/>
    </row>
    <row r="39" spans="5:8" ht="15.75" customHeight="1">
      <c r="E39" s="20"/>
      <c r="H39" s="20"/>
    </row>
    <row r="40" spans="5:8" ht="15.75" customHeight="1">
      <c r="E40" s="20"/>
      <c r="H40" s="20"/>
    </row>
    <row r="41" spans="5:8" ht="15.75" customHeight="1">
      <c r="E41" s="20"/>
      <c r="H41" s="20"/>
    </row>
    <row r="42" spans="5:8" ht="15.75" customHeight="1">
      <c r="E42" s="20"/>
      <c r="H42" s="20"/>
    </row>
    <row r="43" spans="5:8" ht="15.75" customHeight="1">
      <c r="E43" s="20"/>
      <c r="H43" s="20"/>
    </row>
    <row r="44" spans="5:8" ht="15.75" customHeight="1">
      <c r="E44" s="20"/>
      <c r="H44" s="20"/>
    </row>
    <row r="45" spans="5:8" ht="15.75" customHeight="1">
      <c r="E45" s="20"/>
      <c r="H45" s="20"/>
    </row>
    <row r="46" spans="5:8" ht="15.75" customHeight="1">
      <c r="E46" s="20"/>
      <c r="H46" s="20"/>
    </row>
    <row r="47" spans="5:8" ht="15.75" customHeight="1">
      <c r="E47" s="20"/>
      <c r="H47" s="20"/>
    </row>
    <row r="48" spans="5:8" ht="15.75" customHeight="1">
      <c r="E48" s="20"/>
      <c r="H48" s="20"/>
    </row>
    <row r="49" spans="5:8" ht="15.75" customHeight="1">
      <c r="E49" s="20"/>
      <c r="H49" s="20"/>
    </row>
    <row r="50" spans="5:8" ht="15.75" customHeight="1">
      <c r="E50" s="20"/>
      <c r="H50" s="20"/>
    </row>
    <row r="51" spans="5:8" ht="15.75" customHeight="1">
      <c r="E51" s="20"/>
      <c r="H51" s="20"/>
    </row>
    <row r="52" spans="5:8" ht="15.75" customHeight="1">
      <c r="E52" s="20"/>
      <c r="H52" s="20"/>
    </row>
    <row r="53" spans="5:8" ht="15.75" customHeight="1">
      <c r="E53" s="20"/>
      <c r="H53" s="20"/>
    </row>
    <row r="54" spans="5:8" ht="15.75" customHeight="1">
      <c r="E54" s="20"/>
      <c r="H54" s="20"/>
    </row>
    <row r="55" spans="5:8" ht="15.75" customHeight="1">
      <c r="E55" s="20"/>
      <c r="H55" s="20"/>
    </row>
    <row r="56" spans="5:8" ht="15.75" customHeight="1">
      <c r="E56" s="20"/>
      <c r="H56" s="20"/>
    </row>
    <row r="57" spans="5:8" ht="15.75" customHeight="1">
      <c r="E57" s="20"/>
      <c r="H57" s="20"/>
    </row>
    <row r="58" spans="5:8" ht="15.75" customHeight="1">
      <c r="E58" s="20"/>
      <c r="H58" s="20"/>
    </row>
    <row r="59" spans="5:8" ht="15.75" customHeight="1">
      <c r="E59" s="20"/>
      <c r="H59" s="20"/>
    </row>
    <row r="60" spans="5:8" ht="15.75" customHeight="1">
      <c r="E60" s="20"/>
      <c r="H60" s="20"/>
    </row>
    <row r="61" spans="5:8" ht="15.75" customHeight="1">
      <c r="E61" s="20"/>
      <c r="H61" s="20"/>
    </row>
    <row r="62" spans="5:8" ht="15.75" customHeight="1">
      <c r="E62" s="20"/>
      <c r="H62" s="20"/>
    </row>
    <row r="63" spans="5:8" ht="15.75" customHeight="1">
      <c r="E63" s="20"/>
      <c r="H63" s="20"/>
    </row>
    <row r="64" spans="5:8" ht="15.75" customHeight="1">
      <c r="E64" s="20"/>
      <c r="H64" s="20"/>
    </row>
    <row r="65" spans="5:8" ht="15.75" customHeight="1">
      <c r="E65" s="20"/>
      <c r="H65" s="20"/>
    </row>
    <row r="66" spans="5:8" ht="15.75" customHeight="1">
      <c r="E66" s="20"/>
      <c r="H66" s="20"/>
    </row>
    <row r="67" spans="5:8" ht="15.75" customHeight="1">
      <c r="E67" s="20"/>
      <c r="H67" s="20"/>
    </row>
    <row r="68" spans="5:8" ht="15.75" customHeight="1">
      <c r="E68" s="20"/>
      <c r="H68" s="20"/>
    </row>
    <row r="69" spans="5:8" ht="15.75" customHeight="1">
      <c r="E69" s="20"/>
      <c r="H69" s="20"/>
    </row>
    <row r="70" spans="5:8" ht="15.75" customHeight="1">
      <c r="E70" s="20"/>
      <c r="H70" s="20"/>
    </row>
    <row r="71" spans="5:8" ht="15.75" customHeight="1">
      <c r="E71" s="20"/>
      <c r="H71" s="20"/>
    </row>
    <row r="72" spans="5:8" ht="15.75" customHeight="1">
      <c r="E72" s="20"/>
      <c r="H72" s="20"/>
    </row>
    <row r="73" spans="5:8" ht="15.75" customHeight="1">
      <c r="E73" s="20"/>
      <c r="H73" s="20"/>
    </row>
    <row r="74" spans="5:8" ht="15.75" customHeight="1">
      <c r="E74" s="20"/>
      <c r="H74" s="20"/>
    </row>
    <row r="75" spans="5:8" ht="15.75" customHeight="1">
      <c r="E75" s="20"/>
      <c r="H75" s="20"/>
    </row>
    <row r="76" spans="5:8" ht="15.75" customHeight="1">
      <c r="E76" s="20"/>
      <c r="H76" s="20"/>
    </row>
    <row r="77" spans="5:8" ht="15.75" customHeight="1">
      <c r="E77" s="20"/>
      <c r="H77" s="20"/>
    </row>
    <row r="78" spans="5:8" ht="15.75" customHeight="1">
      <c r="E78" s="20"/>
      <c r="H78" s="20"/>
    </row>
    <row r="79" spans="5:8" ht="15.75" customHeight="1">
      <c r="E79" s="20"/>
      <c r="H79" s="20"/>
    </row>
    <row r="80" spans="5:8" ht="15.75" customHeight="1">
      <c r="E80" s="20"/>
      <c r="H80" s="20"/>
    </row>
    <row r="81" spans="5:8" ht="15.75" customHeight="1">
      <c r="E81" s="20"/>
      <c r="H81" s="20"/>
    </row>
    <row r="82" spans="5:8" ht="15.75" customHeight="1">
      <c r="E82" s="20"/>
      <c r="H82" s="20"/>
    </row>
    <row r="83" spans="5:8" ht="15.75" customHeight="1">
      <c r="E83" s="20"/>
      <c r="H83" s="20"/>
    </row>
    <row r="84" spans="5:8" ht="15.75" customHeight="1">
      <c r="E84" s="20"/>
      <c r="H84" s="20"/>
    </row>
    <row r="85" spans="5:8" ht="15.75" customHeight="1">
      <c r="E85" s="20"/>
      <c r="H85" s="20"/>
    </row>
    <row r="86" spans="5:8" ht="15.75" customHeight="1">
      <c r="E86" s="20"/>
      <c r="H86" s="20"/>
    </row>
    <row r="87" spans="5:8" ht="15.75" customHeight="1">
      <c r="E87" s="20"/>
      <c r="H87" s="20"/>
    </row>
    <row r="88" spans="5:8" ht="15.75" customHeight="1">
      <c r="E88" s="20"/>
      <c r="H88" s="20"/>
    </row>
    <row r="89" spans="5:8" ht="15.75" customHeight="1">
      <c r="E89" s="20"/>
      <c r="H89" s="20"/>
    </row>
    <row r="90" spans="5:8" ht="15.75" customHeight="1">
      <c r="E90" s="20"/>
      <c r="H90" s="20"/>
    </row>
    <row r="91" spans="5:8" ht="15.75" customHeight="1">
      <c r="E91" s="20"/>
      <c r="H91" s="20"/>
    </row>
    <row r="92" spans="5:8" ht="15.75" customHeight="1">
      <c r="E92" s="20"/>
      <c r="H92" s="20"/>
    </row>
    <row r="93" spans="5:8" ht="15.75" customHeight="1">
      <c r="E93" s="20"/>
      <c r="H93" s="20"/>
    </row>
    <row r="94" spans="5:8" ht="15.75" customHeight="1">
      <c r="E94" s="20"/>
      <c r="H94" s="20"/>
    </row>
    <row r="95" spans="5:8" ht="15.75" customHeight="1">
      <c r="E95" s="20"/>
      <c r="H95" s="20"/>
    </row>
    <row r="96" spans="5:8" ht="15.75" customHeight="1">
      <c r="E96" s="20"/>
      <c r="H96" s="20"/>
    </row>
    <row r="97" spans="5:8" ht="15.75" customHeight="1">
      <c r="E97" s="20"/>
      <c r="H97" s="20"/>
    </row>
    <row r="98" spans="5:8" ht="15.75" customHeight="1">
      <c r="E98" s="20"/>
      <c r="H98" s="20"/>
    </row>
    <row r="99" spans="5:8" ht="15.75" customHeight="1">
      <c r="E99" s="20"/>
      <c r="H99" s="20"/>
    </row>
    <row r="100" spans="5:8" ht="15.75" customHeight="1">
      <c r="E100" s="20"/>
      <c r="H100" s="20"/>
    </row>
    <row r="101" spans="5:8" ht="15.75" customHeight="1">
      <c r="E101" s="20"/>
      <c r="H101" s="20"/>
    </row>
    <row r="102" spans="5:8" ht="15.75" customHeight="1">
      <c r="E102" s="20"/>
      <c r="H102" s="20"/>
    </row>
    <row r="103" spans="5:8" ht="15.75" customHeight="1">
      <c r="E103" s="20"/>
      <c r="H103" s="20"/>
    </row>
    <row r="104" spans="5:8" ht="15.75" customHeight="1">
      <c r="E104" s="20"/>
      <c r="H104" s="20"/>
    </row>
    <row r="105" spans="5:8" ht="15.75" customHeight="1">
      <c r="E105" s="20"/>
      <c r="H105" s="20"/>
    </row>
    <row r="106" spans="5:8" ht="15.75" customHeight="1">
      <c r="E106" s="20"/>
      <c r="H106" s="20"/>
    </row>
    <row r="107" spans="5:8" ht="15.75" customHeight="1">
      <c r="E107" s="20"/>
      <c r="H107" s="20"/>
    </row>
    <row r="108" spans="5:8" ht="15.75" customHeight="1">
      <c r="E108" s="20"/>
      <c r="H108" s="20"/>
    </row>
    <row r="109" spans="5:8" ht="15.75" customHeight="1">
      <c r="E109" s="20"/>
      <c r="H109" s="20"/>
    </row>
    <row r="110" spans="5:8" ht="15.75" customHeight="1">
      <c r="E110" s="20"/>
      <c r="H110" s="20"/>
    </row>
    <row r="111" spans="5:8" ht="15.75" customHeight="1">
      <c r="E111" s="20"/>
      <c r="H111" s="20"/>
    </row>
    <row r="112" spans="5:8" ht="15.75" customHeight="1">
      <c r="E112" s="20"/>
      <c r="H112" s="20"/>
    </row>
    <row r="113" spans="5:8" ht="15.75" customHeight="1">
      <c r="E113" s="20"/>
      <c r="H113" s="20"/>
    </row>
    <row r="114" spans="5:8" ht="15.75" customHeight="1">
      <c r="E114" s="20"/>
      <c r="H114" s="20"/>
    </row>
    <row r="115" spans="5:8" ht="15.75" customHeight="1">
      <c r="E115" s="20"/>
      <c r="H115" s="20"/>
    </row>
    <row r="116" spans="5:8" ht="15.75" customHeight="1">
      <c r="E116" s="20"/>
      <c r="H116" s="20"/>
    </row>
    <row r="117" spans="5:8" ht="15.75" customHeight="1">
      <c r="E117" s="20"/>
      <c r="H117" s="20"/>
    </row>
    <row r="118" spans="5:8" ht="15.75" customHeight="1">
      <c r="E118" s="20"/>
      <c r="H118" s="20"/>
    </row>
    <row r="119" spans="5:8" ht="15.75" customHeight="1">
      <c r="E119" s="20"/>
      <c r="H119" s="20"/>
    </row>
    <row r="120" spans="5:8" ht="15.75" customHeight="1">
      <c r="E120" s="20"/>
      <c r="H120" s="20"/>
    </row>
    <row r="121" spans="5:8" ht="15.75" customHeight="1">
      <c r="E121" s="20"/>
      <c r="H121" s="20"/>
    </row>
    <row r="122" spans="5:8" ht="15.75" customHeight="1">
      <c r="E122" s="20"/>
      <c r="H122" s="20"/>
    </row>
    <row r="123" spans="5:8" ht="15.75" customHeight="1">
      <c r="E123" s="20"/>
      <c r="H123" s="20"/>
    </row>
    <row r="124" spans="5:8" ht="15.75" customHeight="1">
      <c r="E124" s="20"/>
      <c r="H124" s="20"/>
    </row>
    <row r="125" spans="5:8" ht="15.75" customHeight="1">
      <c r="E125" s="20"/>
      <c r="H125" s="20"/>
    </row>
    <row r="126" spans="5:8" ht="15.75" customHeight="1">
      <c r="E126" s="20"/>
      <c r="H126" s="20"/>
    </row>
    <row r="127" spans="5:8" ht="15.75" customHeight="1">
      <c r="E127" s="20"/>
      <c r="H127" s="20"/>
    </row>
    <row r="128" spans="5:8" ht="15.75" customHeight="1">
      <c r="E128" s="20"/>
      <c r="H128" s="20"/>
    </row>
    <row r="129" spans="5:8" ht="15.75" customHeight="1">
      <c r="E129" s="20"/>
      <c r="H129" s="20"/>
    </row>
    <row r="130" spans="5:8" ht="15.75" customHeight="1">
      <c r="E130" s="20"/>
      <c r="H130" s="20"/>
    </row>
    <row r="131" spans="5:8" ht="15.75" customHeight="1">
      <c r="E131" s="20"/>
      <c r="H131" s="20"/>
    </row>
    <row r="132" spans="5:8" ht="15.75" customHeight="1">
      <c r="E132" s="20"/>
      <c r="H132" s="20"/>
    </row>
    <row r="133" spans="5:8" ht="15.75" customHeight="1">
      <c r="E133" s="20"/>
      <c r="H133" s="20"/>
    </row>
    <row r="134" spans="5:8" ht="15.75" customHeight="1">
      <c r="E134" s="20"/>
      <c r="H134" s="20"/>
    </row>
    <row r="135" spans="5:8" ht="15.75" customHeight="1">
      <c r="E135" s="20"/>
      <c r="H135" s="20"/>
    </row>
    <row r="136" spans="5:8" ht="15.75" customHeight="1">
      <c r="E136" s="20"/>
      <c r="H136" s="20"/>
    </row>
    <row r="137" spans="5:8" ht="15.75" customHeight="1">
      <c r="E137" s="20"/>
      <c r="H137" s="20"/>
    </row>
    <row r="138" spans="5:8" ht="15.75" customHeight="1">
      <c r="E138" s="20"/>
      <c r="H138" s="20"/>
    </row>
    <row r="139" spans="5:8" ht="15.75" customHeight="1">
      <c r="E139" s="20"/>
      <c r="H139" s="20"/>
    </row>
    <row r="140" spans="5:8" ht="15.75" customHeight="1">
      <c r="E140" s="20"/>
      <c r="H140" s="20"/>
    </row>
    <row r="141" spans="5:8" ht="15.75" customHeight="1">
      <c r="E141" s="20"/>
      <c r="H141" s="20"/>
    </row>
    <row r="142" spans="5:8" ht="15.75" customHeight="1">
      <c r="E142" s="20"/>
      <c r="H142" s="20"/>
    </row>
    <row r="143" spans="5:8" ht="15.75" customHeight="1">
      <c r="E143" s="20"/>
      <c r="H143" s="20"/>
    </row>
    <row r="144" spans="5:8" ht="15.75" customHeight="1">
      <c r="E144" s="20"/>
      <c r="H144" s="20"/>
    </row>
    <row r="145" spans="5:8" ht="15.75" customHeight="1">
      <c r="E145" s="20"/>
      <c r="H145" s="20"/>
    </row>
    <row r="146" spans="5:8" ht="15.75" customHeight="1">
      <c r="E146" s="20"/>
      <c r="H146" s="20"/>
    </row>
    <row r="147" spans="5:8" ht="15.75" customHeight="1">
      <c r="E147" s="20"/>
      <c r="H147" s="20"/>
    </row>
    <row r="148" spans="5:8" ht="15.75" customHeight="1">
      <c r="E148" s="20"/>
      <c r="H148" s="20"/>
    </row>
    <row r="149" spans="5:8" ht="15.75" customHeight="1">
      <c r="E149" s="20"/>
      <c r="H149" s="20"/>
    </row>
    <row r="150" spans="5:8" ht="15.75" customHeight="1">
      <c r="E150" s="20"/>
      <c r="H150" s="20"/>
    </row>
    <row r="151" spans="5:8" ht="15.75" customHeight="1">
      <c r="E151" s="20"/>
      <c r="H151" s="20"/>
    </row>
    <row r="152" spans="5:8" ht="15.75" customHeight="1">
      <c r="E152" s="20"/>
      <c r="H152" s="20"/>
    </row>
    <row r="153" spans="5:8" ht="15.75" customHeight="1">
      <c r="E153" s="20"/>
      <c r="H153" s="20"/>
    </row>
    <row r="154" spans="5:8" ht="15.75" customHeight="1">
      <c r="E154" s="20"/>
      <c r="H154" s="20"/>
    </row>
    <row r="155" spans="5:8" ht="15.75" customHeight="1">
      <c r="E155" s="20"/>
      <c r="H155" s="20"/>
    </row>
    <row r="156" spans="5:8" ht="15.75" customHeight="1">
      <c r="E156" s="20"/>
      <c r="H156" s="20"/>
    </row>
    <row r="157" spans="5:8" ht="15.75" customHeight="1">
      <c r="E157" s="20"/>
      <c r="H157" s="20"/>
    </row>
    <row r="158" spans="5:8" ht="15.75" customHeight="1">
      <c r="E158" s="20"/>
      <c r="H158" s="20"/>
    </row>
    <row r="159" spans="5:8" ht="15.75" customHeight="1">
      <c r="E159" s="20"/>
      <c r="H159" s="20"/>
    </row>
    <row r="160" spans="5:8" ht="15.75" customHeight="1">
      <c r="E160" s="20"/>
      <c r="H160" s="20"/>
    </row>
    <row r="161" spans="5:8" ht="15.75" customHeight="1">
      <c r="E161" s="20"/>
      <c r="H161" s="20"/>
    </row>
    <row r="162" spans="5:8" ht="15.75" customHeight="1">
      <c r="E162" s="20"/>
      <c r="H162" s="20"/>
    </row>
    <row r="163" spans="5:8" ht="15.75" customHeight="1">
      <c r="E163" s="20"/>
      <c r="H163" s="20"/>
    </row>
    <row r="164" spans="5:8" ht="15.75" customHeight="1">
      <c r="E164" s="20"/>
      <c r="H164" s="20"/>
    </row>
    <row r="165" spans="5:8" ht="15.75" customHeight="1">
      <c r="E165" s="20"/>
      <c r="H165" s="20"/>
    </row>
    <row r="166" spans="5:8" ht="15.75" customHeight="1">
      <c r="E166" s="20"/>
      <c r="H166" s="20"/>
    </row>
    <row r="167" spans="5:8" ht="15.75" customHeight="1">
      <c r="E167" s="20"/>
      <c r="H167" s="20"/>
    </row>
    <row r="168" spans="5:8" ht="15.75" customHeight="1">
      <c r="E168" s="20"/>
      <c r="H168" s="20"/>
    </row>
    <row r="169" spans="5:8" ht="15.75" customHeight="1">
      <c r="E169" s="20"/>
      <c r="H169" s="20"/>
    </row>
    <row r="170" spans="5:8" ht="15.75" customHeight="1">
      <c r="E170" s="20"/>
      <c r="H170" s="20"/>
    </row>
    <row r="171" spans="5:8" ht="15.75" customHeight="1">
      <c r="E171" s="20"/>
      <c r="H171" s="20"/>
    </row>
    <row r="172" spans="5:8" ht="15.75" customHeight="1">
      <c r="E172" s="20"/>
      <c r="H172" s="20"/>
    </row>
    <row r="173" spans="5:8" ht="15.75" customHeight="1">
      <c r="E173" s="20"/>
      <c r="H173" s="20"/>
    </row>
    <row r="174" spans="5:8" ht="15.75" customHeight="1">
      <c r="E174" s="20"/>
      <c r="H174" s="20"/>
    </row>
    <row r="175" spans="5:8" ht="15.75" customHeight="1">
      <c r="E175" s="20"/>
      <c r="H175" s="20"/>
    </row>
    <row r="176" spans="5:8" ht="15.75" customHeight="1">
      <c r="E176" s="20"/>
      <c r="H176" s="20"/>
    </row>
    <row r="177" spans="5:8" ht="15.75" customHeight="1">
      <c r="E177" s="20"/>
      <c r="H177" s="20"/>
    </row>
    <row r="178" spans="5:8" ht="15.75" customHeight="1">
      <c r="E178" s="20"/>
      <c r="H178" s="20"/>
    </row>
    <row r="179" spans="5:8" ht="15.75" customHeight="1">
      <c r="E179" s="20"/>
      <c r="H179" s="20"/>
    </row>
    <row r="180" spans="5:8" ht="15.75" customHeight="1">
      <c r="E180" s="20"/>
      <c r="H180" s="20"/>
    </row>
    <row r="181" spans="5:8" ht="15.75" customHeight="1">
      <c r="E181" s="20"/>
      <c r="H181" s="20"/>
    </row>
    <row r="182" spans="5:8" ht="15.75" customHeight="1">
      <c r="E182" s="20"/>
      <c r="H182" s="20"/>
    </row>
    <row r="183" spans="5:8" ht="15.75" customHeight="1">
      <c r="E183" s="20"/>
      <c r="H183" s="20"/>
    </row>
    <row r="184" spans="5:8" ht="15.75" customHeight="1">
      <c r="E184" s="20"/>
      <c r="H184" s="20"/>
    </row>
    <row r="185" spans="5:8" ht="15.75" customHeight="1">
      <c r="E185" s="20"/>
      <c r="H185" s="20"/>
    </row>
    <row r="186" spans="5:8" ht="15.75" customHeight="1">
      <c r="E186" s="20"/>
      <c r="H186" s="20"/>
    </row>
    <row r="187" spans="5:8" ht="15.75" customHeight="1">
      <c r="E187" s="20"/>
      <c r="H187" s="20"/>
    </row>
    <row r="188" spans="5:8" ht="15.75" customHeight="1">
      <c r="E188" s="20"/>
      <c r="H188" s="20"/>
    </row>
    <row r="189" spans="5:8" ht="15.75" customHeight="1">
      <c r="E189" s="20"/>
      <c r="H189" s="20"/>
    </row>
    <row r="190" spans="5:8" ht="15.75" customHeight="1">
      <c r="E190" s="20"/>
      <c r="H190" s="20"/>
    </row>
    <row r="191" spans="5:8" ht="15.75" customHeight="1">
      <c r="E191" s="20"/>
      <c r="H191" s="20"/>
    </row>
    <row r="192" spans="5:8" ht="15.75" customHeight="1">
      <c r="E192" s="20"/>
      <c r="H192" s="20"/>
    </row>
    <row r="193" spans="5:8" ht="15.75" customHeight="1">
      <c r="E193" s="20"/>
      <c r="H193" s="20"/>
    </row>
    <row r="194" spans="5:8" ht="15.75" customHeight="1">
      <c r="E194" s="20"/>
      <c r="H194" s="20"/>
    </row>
    <row r="195" spans="5:8" ht="15.75" customHeight="1">
      <c r="E195" s="20"/>
      <c r="H195" s="20"/>
    </row>
    <row r="196" spans="5:8" ht="15.75" customHeight="1">
      <c r="E196" s="20"/>
      <c r="H196" s="20"/>
    </row>
    <row r="197" spans="5:8" ht="15.75" customHeight="1">
      <c r="E197" s="20"/>
      <c r="H197" s="20"/>
    </row>
    <row r="198" spans="5:8" ht="15.75" customHeight="1">
      <c r="E198" s="20"/>
      <c r="H198" s="20"/>
    </row>
    <row r="199" spans="5:8" ht="15.75" customHeight="1">
      <c r="E199" s="20"/>
      <c r="H199" s="20"/>
    </row>
    <row r="200" spans="5:8" ht="15.75" customHeight="1">
      <c r="E200" s="20"/>
      <c r="H200" s="20"/>
    </row>
    <row r="201" spans="5:8" ht="15.75" customHeight="1">
      <c r="E201" s="20"/>
      <c r="H201" s="20"/>
    </row>
    <row r="202" spans="5:8" ht="15.75" customHeight="1">
      <c r="E202" s="20"/>
      <c r="H202" s="20"/>
    </row>
    <row r="203" spans="5:8" ht="15.75" customHeight="1">
      <c r="E203" s="20"/>
      <c r="H203" s="20"/>
    </row>
    <row r="204" spans="5:8" ht="15.75" customHeight="1">
      <c r="E204" s="20"/>
      <c r="H204" s="20"/>
    </row>
    <row r="205" spans="5:8" ht="15.75" customHeight="1">
      <c r="E205" s="20"/>
      <c r="H205" s="20"/>
    </row>
    <row r="206" spans="5:8" ht="15.75" customHeight="1">
      <c r="E206" s="20"/>
      <c r="H206" s="20"/>
    </row>
    <row r="207" spans="5:8" ht="15.75" customHeight="1">
      <c r="E207" s="20"/>
      <c r="H207" s="20"/>
    </row>
    <row r="208" spans="5:8" ht="15.75" customHeight="1">
      <c r="E208" s="20"/>
      <c r="H208" s="20"/>
    </row>
    <row r="209" spans="5:8" ht="15.75" customHeight="1">
      <c r="E209" s="20"/>
      <c r="H209" s="20"/>
    </row>
    <row r="210" spans="5:8" ht="15.75" customHeight="1">
      <c r="E210" s="20"/>
      <c r="H210" s="20"/>
    </row>
    <row r="211" spans="5:8" ht="15.75" customHeight="1">
      <c r="E211" s="20"/>
      <c r="H211" s="20"/>
    </row>
    <row r="212" spans="5:8" ht="15.75" customHeight="1">
      <c r="E212" s="20"/>
      <c r="H212" s="20"/>
    </row>
    <row r="213" spans="5:8" ht="15.75" customHeight="1">
      <c r="E213" s="20"/>
      <c r="H213" s="20"/>
    </row>
    <row r="214" spans="5:8" ht="15.75" customHeight="1">
      <c r="E214" s="20"/>
      <c r="H214" s="20"/>
    </row>
    <row r="215" spans="5:8" ht="15.75" customHeight="1">
      <c r="E215" s="20"/>
      <c r="H215" s="20"/>
    </row>
    <row r="216" spans="5:8" ht="15.75" customHeight="1">
      <c r="E216" s="20"/>
      <c r="H216" s="20"/>
    </row>
    <row r="217" spans="5:8" ht="15.75" customHeight="1">
      <c r="E217" s="20"/>
      <c r="H217" s="20"/>
    </row>
    <row r="218" spans="5:8" ht="15.75" customHeight="1">
      <c r="E218" s="20"/>
      <c r="H218" s="20"/>
    </row>
    <row r="219" spans="5:8" ht="15.75" customHeight="1">
      <c r="E219" s="20"/>
      <c r="H219" s="20"/>
    </row>
    <row r="220" spans="5:8" ht="15.75" customHeight="1">
      <c r="E220" s="20"/>
      <c r="H220" s="20"/>
    </row>
    <row r="221" spans="5:8" ht="15.75" customHeight="1">
      <c r="E221" s="20"/>
      <c r="H221" s="20"/>
    </row>
    <row r="222" spans="5:8" ht="15.75" customHeight="1">
      <c r="E222" s="20"/>
      <c r="H222" s="20"/>
    </row>
    <row r="223" spans="5:8" ht="15.75" customHeight="1">
      <c r="E223" s="20"/>
      <c r="H223" s="20"/>
    </row>
    <row r="224" spans="5:8" ht="15.75" customHeight="1">
      <c r="E224" s="20"/>
      <c r="H224" s="20"/>
    </row>
    <row r="225" spans="5:8" ht="15.75" customHeight="1">
      <c r="E225" s="20"/>
      <c r="H225" s="20"/>
    </row>
    <row r="226" spans="5:8" ht="15.75" customHeight="1">
      <c r="E226" s="20"/>
      <c r="H226" s="20"/>
    </row>
    <row r="227" spans="5:8" ht="15.75" customHeight="1">
      <c r="E227" s="20"/>
      <c r="H227" s="20"/>
    </row>
    <row r="228" spans="5:8" ht="15.75" customHeight="1">
      <c r="E228" s="20"/>
      <c r="H228" s="20"/>
    </row>
    <row r="229" spans="5:8" ht="15.75" customHeight="1">
      <c r="E229" s="20"/>
      <c r="H229" s="20"/>
    </row>
    <row r="230" spans="5:8" ht="15.75" customHeight="1">
      <c r="E230" s="20"/>
      <c r="H230" s="20"/>
    </row>
    <row r="231" spans="5:8" ht="15.75" customHeight="1">
      <c r="E231" s="20"/>
      <c r="H231" s="20"/>
    </row>
    <row r="232" spans="5:8" ht="15.75" customHeight="1">
      <c r="E232" s="20"/>
      <c r="H232" s="20"/>
    </row>
    <row r="233" spans="5:8" ht="15.75" customHeight="1">
      <c r="E233" s="20"/>
      <c r="H233" s="20"/>
    </row>
    <row r="234" spans="5:8" ht="15.75" customHeight="1">
      <c r="E234" s="20"/>
      <c r="H234" s="20"/>
    </row>
    <row r="235" spans="5:8" ht="15.75" customHeight="1">
      <c r="E235" s="20"/>
      <c r="H235" s="20"/>
    </row>
    <row r="236" spans="5:8" ht="15.75" customHeight="1">
      <c r="E236" s="20"/>
      <c r="H236" s="20"/>
    </row>
    <row r="237" spans="5:8" ht="15.75" customHeight="1">
      <c r="E237" s="20"/>
      <c r="H237" s="20"/>
    </row>
    <row r="238" spans="5:8" ht="15.75" customHeight="1">
      <c r="E238" s="20"/>
      <c r="H238" s="20"/>
    </row>
    <row r="239" spans="5:8" ht="15.75" customHeight="1">
      <c r="E239" s="20"/>
      <c r="H239" s="20"/>
    </row>
    <row r="240" spans="5:8" ht="15.75" customHeight="1">
      <c r="E240" s="20"/>
      <c r="H240" s="20"/>
    </row>
    <row r="241" spans="5:8" ht="15.75" customHeight="1">
      <c r="E241" s="20"/>
      <c r="H241" s="20"/>
    </row>
    <row r="242" spans="5:8" ht="15.75" customHeight="1">
      <c r="E242" s="20"/>
      <c r="H242" s="20"/>
    </row>
    <row r="243" spans="5:8" ht="15.75" customHeight="1">
      <c r="E243" s="20"/>
      <c r="H243" s="20"/>
    </row>
    <row r="244" spans="5:8" ht="15.75" customHeight="1">
      <c r="E244" s="20"/>
      <c r="H244" s="20"/>
    </row>
    <row r="245" spans="5:8" ht="15.75" customHeight="1">
      <c r="E245" s="20"/>
      <c r="H245" s="20"/>
    </row>
    <row r="246" spans="5:8" ht="15.75" customHeight="1">
      <c r="E246" s="20"/>
      <c r="H246" s="20"/>
    </row>
    <row r="247" spans="5:8" ht="15.75" customHeight="1">
      <c r="E247" s="20"/>
      <c r="H247" s="20"/>
    </row>
    <row r="248" spans="5:8" ht="15.75" customHeight="1">
      <c r="E248" s="20"/>
      <c r="H248" s="20"/>
    </row>
    <row r="249" spans="5:8" ht="15.75" customHeight="1">
      <c r="E249" s="20"/>
      <c r="H249" s="20"/>
    </row>
    <row r="250" spans="5:8" ht="15.75" customHeight="1">
      <c r="E250" s="20"/>
      <c r="H250" s="20"/>
    </row>
    <row r="251" spans="5:8" ht="15.75" customHeight="1">
      <c r="E251" s="20"/>
      <c r="H251" s="20"/>
    </row>
    <row r="252" spans="5:8" ht="15.75" customHeight="1">
      <c r="E252" s="20"/>
      <c r="H252" s="20"/>
    </row>
    <row r="253" spans="5:8" ht="15.75" customHeight="1">
      <c r="E253" s="20"/>
      <c r="H253" s="20"/>
    </row>
    <row r="254" spans="5:8" ht="15.75" customHeight="1">
      <c r="E254" s="20"/>
      <c r="H254" s="20"/>
    </row>
    <row r="255" spans="5:8" ht="15.75" customHeight="1">
      <c r="E255" s="20"/>
      <c r="H255" s="20"/>
    </row>
    <row r="256" spans="5:8" ht="15.75" customHeight="1">
      <c r="E256" s="20"/>
      <c r="H256" s="20"/>
    </row>
    <row r="257" spans="5:8" ht="15.75" customHeight="1">
      <c r="E257" s="20"/>
      <c r="H257" s="20"/>
    </row>
    <row r="258" spans="5:8" ht="15.75" customHeight="1">
      <c r="E258" s="20"/>
      <c r="H258" s="20"/>
    </row>
    <row r="259" spans="5:8" ht="15.75" customHeight="1">
      <c r="E259" s="20"/>
      <c r="H259" s="20"/>
    </row>
    <row r="260" spans="5:8" ht="15.75" customHeight="1">
      <c r="E260" s="20"/>
      <c r="H260" s="20"/>
    </row>
    <row r="261" spans="5:8" ht="15.75" customHeight="1">
      <c r="E261" s="20"/>
      <c r="H261" s="20"/>
    </row>
    <row r="262" spans="5:8" ht="15.75" customHeight="1">
      <c r="E262" s="20"/>
      <c r="H262" s="20"/>
    </row>
    <row r="263" spans="5:8" ht="15.75" customHeight="1">
      <c r="E263" s="20"/>
      <c r="H263" s="20"/>
    </row>
    <row r="264" spans="5:8" ht="15.75" customHeight="1">
      <c r="E264" s="20"/>
      <c r="H264" s="20"/>
    </row>
    <row r="265" spans="5:8" ht="15.75" customHeight="1">
      <c r="E265" s="20"/>
      <c r="H265" s="20"/>
    </row>
    <row r="266" spans="5:8" ht="15.75" customHeight="1">
      <c r="E266" s="20"/>
      <c r="H266" s="20"/>
    </row>
    <row r="267" spans="5:8" ht="15.75" customHeight="1">
      <c r="E267" s="20"/>
      <c r="H267" s="20"/>
    </row>
    <row r="268" spans="5:8" ht="15.75" customHeight="1">
      <c r="E268" s="20"/>
      <c r="H268" s="20"/>
    </row>
    <row r="269" spans="5:8" ht="15.75" customHeight="1">
      <c r="E269" s="20"/>
      <c r="H269" s="20"/>
    </row>
    <row r="270" spans="5:8" ht="15.75" customHeight="1">
      <c r="E270" s="20"/>
      <c r="H270" s="20"/>
    </row>
    <row r="271" spans="5:8" ht="15.75" customHeight="1">
      <c r="E271" s="20"/>
      <c r="H271" s="20"/>
    </row>
    <row r="272" spans="5:8" ht="15.75" customHeight="1">
      <c r="E272" s="20"/>
      <c r="H272" s="20"/>
    </row>
    <row r="273" spans="5:8" ht="15.75" customHeight="1">
      <c r="E273" s="20"/>
      <c r="H273" s="20"/>
    </row>
    <row r="274" spans="5:8" ht="15.75" customHeight="1">
      <c r="E274" s="20"/>
      <c r="H274" s="20"/>
    </row>
    <row r="275" spans="5:8" ht="15.75" customHeight="1">
      <c r="E275" s="20"/>
      <c r="H275" s="20"/>
    </row>
    <row r="276" spans="5:8" ht="15.75" customHeight="1">
      <c r="E276" s="20"/>
      <c r="H276" s="20"/>
    </row>
    <row r="277" spans="5:8" ht="15.75" customHeight="1">
      <c r="E277" s="20"/>
      <c r="H277" s="20"/>
    </row>
    <row r="278" spans="5:8" ht="15.75" customHeight="1">
      <c r="E278" s="20"/>
      <c r="H278" s="20"/>
    </row>
    <row r="279" spans="5:8" ht="15.75" customHeight="1">
      <c r="E279" s="20"/>
      <c r="H279" s="20"/>
    </row>
    <row r="280" spans="5:8" ht="15.75" customHeight="1">
      <c r="E280" s="20"/>
      <c r="H280" s="20"/>
    </row>
    <row r="281" spans="5:8" ht="15.75" customHeight="1">
      <c r="E281" s="20"/>
      <c r="H281" s="20"/>
    </row>
    <row r="282" spans="5:8" ht="15.75" customHeight="1">
      <c r="E282" s="20"/>
      <c r="H282" s="20"/>
    </row>
    <row r="283" spans="5:8" ht="15.75" customHeight="1">
      <c r="E283" s="20"/>
      <c r="H283" s="20"/>
    </row>
    <row r="284" spans="5:8" ht="15.75" customHeight="1">
      <c r="E284" s="20"/>
      <c r="H284" s="20"/>
    </row>
    <row r="285" spans="5:8" ht="15.75" customHeight="1">
      <c r="E285" s="20"/>
      <c r="H285" s="20"/>
    </row>
    <row r="286" spans="5:8" ht="15.75" customHeight="1">
      <c r="E286" s="20"/>
      <c r="H286" s="20"/>
    </row>
    <row r="287" spans="5:8" ht="15.75" customHeight="1">
      <c r="E287" s="20"/>
      <c r="H287" s="20"/>
    </row>
    <row r="288" spans="5:8" ht="15.75" customHeight="1">
      <c r="E288" s="20"/>
      <c r="H288" s="20"/>
    </row>
    <row r="289" spans="5:8" ht="15.75" customHeight="1">
      <c r="E289" s="20"/>
      <c r="H289" s="20"/>
    </row>
    <row r="290" spans="5:8" ht="15.75" customHeight="1">
      <c r="E290" s="20"/>
      <c r="H290" s="20"/>
    </row>
    <row r="291" spans="5:8" ht="15.75" customHeight="1">
      <c r="E291" s="20"/>
      <c r="H291" s="20"/>
    </row>
    <row r="292" spans="5:8" ht="15.75" customHeight="1">
      <c r="E292" s="20"/>
      <c r="H292" s="20"/>
    </row>
    <row r="293" spans="5:8" ht="15.75" customHeight="1">
      <c r="E293" s="20"/>
      <c r="H293" s="20"/>
    </row>
    <row r="294" spans="5:8" ht="15.75" customHeight="1">
      <c r="E294" s="20"/>
      <c r="H294" s="20"/>
    </row>
    <row r="295" spans="5:8" ht="15.75" customHeight="1">
      <c r="E295" s="20"/>
      <c r="H295" s="20"/>
    </row>
    <row r="296" spans="5:8" ht="15.75" customHeight="1">
      <c r="E296" s="20"/>
      <c r="H296" s="20"/>
    </row>
    <row r="297" spans="5:8" ht="15.75" customHeight="1">
      <c r="E297" s="20"/>
      <c r="H297" s="20"/>
    </row>
    <row r="298" spans="5:8" ht="15.75" customHeight="1">
      <c r="E298" s="20"/>
      <c r="H298" s="20"/>
    </row>
    <row r="299" spans="5:8" ht="15.75" customHeight="1">
      <c r="E299" s="20"/>
      <c r="H299" s="20"/>
    </row>
    <row r="300" spans="5:8" ht="15.75" customHeight="1">
      <c r="E300" s="20"/>
      <c r="H300" s="20"/>
    </row>
    <row r="301" spans="5:8" ht="15.75" customHeight="1">
      <c r="E301" s="20"/>
      <c r="H301" s="20"/>
    </row>
    <row r="302" spans="5:8" ht="15.75" customHeight="1">
      <c r="E302" s="20"/>
      <c r="H302" s="20"/>
    </row>
    <row r="303" spans="5:8" ht="15.75" customHeight="1">
      <c r="E303" s="20"/>
      <c r="H303" s="20"/>
    </row>
    <row r="304" spans="5:8" ht="15.75" customHeight="1">
      <c r="E304" s="20"/>
      <c r="H304" s="20"/>
    </row>
    <row r="305" spans="5:8" ht="15.75" customHeight="1">
      <c r="E305" s="20"/>
      <c r="H305" s="20"/>
    </row>
    <row r="306" spans="5:8" ht="15.75" customHeight="1">
      <c r="E306" s="20"/>
      <c r="H306" s="20"/>
    </row>
    <row r="307" spans="5:8" ht="15.75" customHeight="1">
      <c r="E307" s="20"/>
      <c r="H307" s="20"/>
    </row>
    <row r="308" spans="5:8" ht="15.75" customHeight="1">
      <c r="E308" s="20"/>
      <c r="H308" s="20"/>
    </row>
    <row r="309" spans="5:8" ht="15.75" customHeight="1">
      <c r="E309" s="20"/>
      <c r="H309" s="20"/>
    </row>
    <row r="310" spans="5:8" ht="15.75" customHeight="1">
      <c r="E310" s="20"/>
      <c r="H310" s="20"/>
    </row>
    <row r="311" spans="5:8" ht="15.75" customHeight="1">
      <c r="E311" s="20"/>
      <c r="H311" s="20"/>
    </row>
    <row r="312" spans="5:8" ht="15.75" customHeight="1">
      <c r="E312" s="20"/>
      <c r="H312" s="20"/>
    </row>
    <row r="313" spans="5:8" ht="15.75" customHeight="1">
      <c r="E313" s="20"/>
      <c r="H313" s="20"/>
    </row>
    <row r="314" spans="5:8" ht="15.75" customHeight="1">
      <c r="E314" s="20"/>
      <c r="H314" s="20"/>
    </row>
    <row r="315" spans="5:8" ht="15.75" customHeight="1">
      <c r="E315" s="20"/>
      <c r="H315" s="20"/>
    </row>
    <row r="316" spans="5:8" ht="15.75" customHeight="1">
      <c r="E316" s="20"/>
      <c r="H316" s="20"/>
    </row>
    <row r="317" spans="5:8" ht="15.75" customHeight="1">
      <c r="E317" s="20"/>
      <c r="H317" s="20"/>
    </row>
    <row r="318" spans="5:8" ht="15.75" customHeight="1">
      <c r="E318" s="20"/>
      <c r="H318" s="20"/>
    </row>
    <row r="319" spans="5:8" ht="15.75" customHeight="1">
      <c r="E319" s="20"/>
      <c r="H319" s="20"/>
    </row>
    <row r="320" spans="5:8" ht="15.75" customHeight="1">
      <c r="E320" s="20"/>
      <c r="H320" s="20"/>
    </row>
    <row r="321" spans="5:8" ht="15.75" customHeight="1">
      <c r="E321" s="20"/>
      <c r="H321" s="20"/>
    </row>
    <row r="322" spans="5:8" ht="15.75" customHeight="1">
      <c r="E322" s="20"/>
      <c r="H322" s="20"/>
    </row>
    <row r="323" spans="5:8" ht="15.75" customHeight="1">
      <c r="E323" s="20"/>
      <c r="H323" s="20"/>
    </row>
    <row r="324" spans="5:8" ht="15.75" customHeight="1">
      <c r="E324" s="20"/>
      <c r="H324" s="20"/>
    </row>
    <row r="325" spans="5:8" ht="15.75" customHeight="1">
      <c r="E325" s="20"/>
      <c r="H325" s="20"/>
    </row>
    <row r="326" spans="5:8" ht="15.75" customHeight="1">
      <c r="E326" s="20"/>
      <c r="H326" s="20"/>
    </row>
    <row r="327" spans="5:8" ht="15.75" customHeight="1">
      <c r="E327" s="20"/>
      <c r="H327" s="20"/>
    </row>
    <row r="328" spans="5:8" ht="15.75" customHeight="1">
      <c r="E328" s="20"/>
      <c r="H328" s="20"/>
    </row>
    <row r="329" spans="5:8" ht="15.75" customHeight="1">
      <c r="E329" s="20"/>
      <c r="H329" s="20"/>
    </row>
    <row r="330" spans="5:8" ht="15.75" customHeight="1">
      <c r="E330" s="20"/>
      <c r="H330" s="20"/>
    </row>
    <row r="331" spans="5:8" ht="15.75" customHeight="1">
      <c r="E331" s="20"/>
      <c r="H331" s="20"/>
    </row>
    <row r="332" spans="5:8" ht="15.75" customHeight="1">
      <c r="E332" s="20"/>
      <c r="H332" s="20"/>
    </row>
    <row r="333" spans="5:8" ht="15.75" customHeight="1">
      <c r="E333" s="20"/>
      <c r="H333" s="20"/>
    </row>
    <row r="334" spans="5:8" ht="15.75" customHeight="1">
      <c r="E334" s="20"/>
      <c r="H334" s="20"/>
    </row>
    <row r="335" spans="5:8" ht="15.75" customHeight="1">
      <c r="E335" s="20"/>
      <c r="H335" s="20"/>
    </row>
    <row r="336" spans="5:8" ht="15.75" customHeight="1">
      <c r="E336" s="20"/>
      <c r="H336" s="20"/>
    </row>
    <row r="337" spans="5:8" ht="15.75" customHeight="1">
      <c r="E337" s="20"/>
      <c r="H337" s="20"/>
    </row>
    <row r="338" spans="5:8" ht="15.75" customHeight="1">
      <c r="E338" s="20"/>
      <c r="H338" s="20"/>
    </row>
    <row r="339" spans="5:8" ht="15.75" customHeight="1">
      <c r="E339" s="20"/>
      <c r="H339" s="20"/>
    </row>
    <row r="340" spans="5:8" ht="15.75" customHeight="1">
      <c r="E340" s="20"/>
      <c r="H340" s="20"/>
    </row>
    <row r="341" spans="5:8" ht="15.75" customHeight="1">
      <c r="E341" s="20"/>
      <c r="H341" s="20"/>
    </row>
    <row r="342" spans="5:8" ht="15.75" customHeight="1">
      <c r="E342" s="20"/>
      <c r="H342" s="20"/>
    </row>
    <row r="343" spans="5:8" ht="15.75" customHeight="1">
      <c r="E343" s="20"/>
      <c r="H343" s="20"/>
    </row>
    <row r="344" spans="5:8" ht="15.75" customHeight="1">
      <c r="E344" s="20"/>
      <c r="H344" s="20"/>
    </row>
    <row r="345" spans="5:8" ht="15.75" customHeight="1">
      <c r="E345" s="20"/>
      <c r="H345" s="20"/>
    </row>
    <row r="346" spans="5:8" ht="15.75" customHeight="1">
      <c r="E346" s="20"/>
      <c r="H346" s="20"/>
    </row>
    <row r="347" spans="5:8" ht="15.75" customHeight="1">
      <c r="E347" s="20"/>
      <c r="H347" s="20"/>
    </row>
    <row r="348" spans="5:8" ht="15.75" customHeight="1">
      <c r="E348" s="20"/>
      <c r="H348" s="20"/>
    </row>
    <row r="349" spans="5:8" ht="15.75" customHeight="1">
      <c r="E349" s="20"/>
      <c r="H349" s="20"/>
    </row>
    <row r="350" spans="5:8" ht="15.75" customHeight="1">
      <c r="E350" s="20"/>
      <c r="H350" s="20"/>
    </row>
    <row r="351" spans="5:8" ht="15.75" customHeight="1">
      <c r="E351" s="20"/>
      <c r="H351" s="20"/>
    </row>
    <row r="352" spans="5:8" ht="15.75" customHeight="1">
      <c r="E352" s="20"/>
      <c r="H352" s="20"/>
    </row>
    <row r="353" spans="5:8" ht="15.75" customHeight="1">
      <c r="E353" s="20"/>
      <c r="H353" s="20"/>
    </row>
    <row r="354" spans="5:8" ht="15.75" customHeight="1">
      <c r="E354" s="20"/>
      <c r="H354" s="20"/>
    </row>
    <row r="355" spans="5:8" ht="15.75" customHeight="1">
      <c r="E355" s="20"/>
      <c r="H355" s="20"/>
    </row>
    <row r="356" spans="5:8" ht="15.75" customHeight="1">
      <c r="E356" s="20"/>
      <c r="H356" s="20"/>
    </row>
    <row r="357" spans="5:8" ht="15.75" customHeight="1">
      <c r="E357" s="20"/>
      <c r="H357" s="20"/>
    </row>
    <row r="358" spans="5:8" ht="15.75" customHeight="1">
      <c r="E358" s="20"/>
      <c r="H358" s="20"/>
    </row>
    <row r="359" spans="5:8" ht="15.75" customHeight="1">
      <c r="E359" s="20"/>
      <c r="H359" s="20"/>
    </row>
    <row r="360" spans="5:8" ht="15.75" customHeight="1">
      <c r="E360" s="20"/>
      <c r="H360" s="20"/>
    </row>
    <row r="361" spans="5:8" ht="15.75" customHeight="1">
      <c r="E361" s="20"/>
      <c r="H361" s="20"/>
    </row>
    <row r="362" spans="5:8" ht="15.75" customHeight="1">
      <c r="E362" s="20"/>
      <c r="H362" s="20"/>
    </row>
    <row r="363" spans="5:8" ht="15.75" customHeight="1">
      <c r="E363" s="20"/>
      <c r="H363" s="20"/>
    </row>
    <row r="364" spans="5:8" ht="15.75" customHeight="1">
      <c r="E364" s="20"/>
      <c r="H364" s="20"/>
    </row>
    <row r="365" spans="5:8" ht="15.75" customHeight="1">
      <c r="E365" s="20"/>
      <c r="H365" s="20"/>
    </row>
    <row r="366" spans="5:8" ht="15.75" customHeight="1">
      <c r="E366" s="20"/>
      <c r="H366" s="20"/>
    </row>
    <row r="367" spans="5:8" ht="15.75" customHeight="1">
      <c r="E367" s="20"/>
      <c r="H367" s="20"/>
    </row>
    <row r="368" spans="5:8" ht="15.75" customHeight="1">
      <c r="E368" s="20"/>
      <c r="H368" s="20"/>
    </row>
    <row r="369" spans="5:8" ht="15.75" customHeight="1">
      <c r="E369" s="20"/>
      <c r="H369" s="20"/>
    </row>
    <row r="370" spans="5:8" ht="15.75" customHeight="1">
      <c r="E370" s="20"/>
      <c r="H370" s="20"/>
    </row>
    <row r="371" spans="5:8" ht="15.75" customHeight="1">
      <c r="E371" s="20"/>
      <c r="H371" s="20"/>
    </row>
    <row r="372" spans="5:8" ht="15.75" customHeight="1">
      <c r="E372" s="20"/>
      <c r="H372" s="20"/>
    </row>
    <row r="373" spans="5:8" ht="15.75" customHeight="1">
      <c r="E373" s="20"/>
      <c r="H373" s="20"/>
    </row>
    <row r="374" spans="5:8" ht="15.75" customHeight="1">
      <c r="E374" s="20"/>
      <c r="H374" s="20"/>
    </row>
    <row r="375" spans="5:8" ht="15.75" customHeight="1">
      <c r="E375" s="20"/>
      <c r="H375" s="20"/>
    </row>
    <row r="376" spans="5:8" ht="15.75" customHeight="1">
      <c r="E376" s="20"/>
      <c r="H376" s="20"/>
    </row>
    <row r="377" spans="5:8" ht="15.75" customHeight="1">
      <c r="E377" s="20"/>
      <c r="H377" s="20"/>
    </row>
    <row r="378" spans="5:8" ht="15.75" customHeight="1">
      <c r="E378" s="20"/>
      <c r="H378" s="20"/>
    </row>
    <row r="379" spans="5:8" ht="15.75" customHeight="1">
      <c r="E379" s="20"/>
      <c r="H379" s="20"/>
    </row>
    <row r="380" spans="5:8" ht="15.75" customHeight="1">
      <c r="E380" s="20"/>
      <c r="H380" s="20"/>
    </row>
    <row r="381" spans="5:8" ht="15.75" customHeight="1">
      <c r="E381" s="20"/>
      <c r="H381" s="20"/>
    </row>
    <row r="382" spans="5:8" ht="15.75" customHeight="1">
      <c r="E382" s="20"/>
      <c r="H382" s="20"/>
    </row>
    <row r="383" spans="5:8" ht="15.75" customHeight="1">
      <c r="E383" s="20"/>
      <c r="H383" s="20"/>
    </row>
    <row r="384" spans="5:8" ht="15.75" customHeight="1">
      <c r="E384" s="20"/>
      <c r="H384" s="20"/>
    </row>
    <row r="385" spans="5:8" ht="15.75" customHeight="1">
      <c r="E385" s="20"/>
      <c r="H385" s="20"/>
    </row>
    <row r="386" spans="5:8" ht="15.75" customHeight="1">
      <c r="E386" s="20"/>
      <c r="H386" s="20"/>
    </row>
    <row r="387" spans="5:8" ht="15.75" customHeight="1">
      <c r="E387" s="20"/>
      <c r="H387" s="20"/>
    </row>
    <row r="388" spans="5:8" ht="15.75" customHeight="1">
      <c r="E388" s="20"/>
      <c r="H388" s="20"/>
    </row>
    <row r="389" spans="5:8" ht="15.75" customHeight="1">
      <c r="E389" s="20"/>
      <c r="H389" s="20"/>
    </row>
    <row r="390" spans="5:8" ht="15.75" customHeight="1">
      <c r="E390" s="20"/>
      <c r="H390" s="20"/>
    </row>
    <row r="391" spans="5:8" ht="15.75" customHeight="1">
      <c r="E391" s="20"/>
      <c r="H391" s="20"/>
    </row>
    <row r="392" spans="5:8" ht="15.75" customHeight="1">
      <c r="E392" s="20"/>
      <c r="H392" s="20"/>
    </row>
    <row r="393" spans="5:8" ht="15.75" customHeight="1">
      <c r="E393" s="20"/>
      <c r="H393" s="20"/>
    </row>
    <row r="394" spans="5:8" ht="15.75" customHeight="1">
      <c r="E394" s="20"/>
      <c r="H394" s="20"/>
    </row>
    <row r="395" spans="5:8" ht="15.75" customHeight="1">
      <c r="E395" s="20"/>
      <c r="H395" s="20"/>
    </row>
    <row r="396" spans="5:8" ht="15.75" customHeight="1">
      <c r="E396" s="20"/>
      <c r="H396" s="20"/>
    </row>
    <row r="397" spans="5:8" ht="15.75" customHeight="1">
      <c r="E397" s="20"/>
      <c r="H397" s="20"/>
    </row>
    <row r="398" spans="5:8" ht="15.75" customHeight="1">
      <c r="E398" s="20"/>
      <c r="H398" s="20"/>
    </row>
    <row r="399" spans="5:8" ht="15.75" customHeight="1">
      <c r="E399" s="20"/>
      <c r="H399" s="20"/>
    </row>
    <row r="400" spans="5:8" ht="15.75" customHeight="1">
      <c r="E400" s="20"/>
      <c r="H400" s="20"/>
    </row>
    <row r="401" spans="5:8" ht="15.75" customHeight="1">
      <c r="E401" s="20"/>
      <c r="H401" s="20"/>
    </row>
    <row r="402" spans="5:8" ht="15.75" customHeight="1">
      <c r="E402" s="20"/>
      <c r="H402" s="20"/>
    </row>
    <row r="403" spans="5:8" ht="15.75" customHeight="1">
      <c r="E403" s="20"/>
      <c r="H403" s="20"/>
    </row>
    <row r="404" spans="5:8" ht="15.75" customHeight="1">
      <c r="E404" s="20"/>
      <c r="H404" s="20"/>
    </row>
    <row r="405" spans="5:8" ht="15.75" customHeight="1">
      <c r="E405" s="20"/>
      <c r="H405" s="20"/>
    </row>
    <row r="406" spans="5:8" ht="15.75" customHeight="1">
      <c r="E406" s="20"/>
      <c r="H406" s="20"/>
    </row>
    <row r="407" spans="5:8" ht="15.75" customHeight="1">
      <c r="E407" s="20"/>
      <c r="H407" s="20"/>
    </row>
    <row r="408" spans="5:8" ht="15.75" customHeight="1">
      <c r="E408" s="20"/>
      <c r="H408" s="20"/>
    </row>
    <row r="409" spans="5:8" ht="15.75" customHeight="1">
      <c r="E409" s="20"/>
      <c r="H409" s="20"/>
    </row>
    <row r="410" spans="5:8" ht="15.75" customHeight="1">
      <c r="E410" s="20"/>
      <c r="H410" s="20"/>
    </row>
    <row r="411" spans="5:8" ht="15.75" customHeight="1">
      <c r="E411" s="20"/>
      <c r="H411" s="20"/>
    </row>
    <row r="412" spans="5:8" ht="15.75" customHeight="1">
      <c r="E412" s="20"/>
      <c r="H412" s="20"/>
    </row>
    <row r="413" spans="5:8" ht="15.75" customHeight="1">
      <c r="E413" s="20"/>
      <c r="H413" s="20"/>
    </row>
    <row r="414" spans="5:8" ht="15.75" customHeight="1">
      <c r="E414" s="20"/>
      <c r="H414" s="20"/>
    </row>
    <row r="415" spans="5:8" ht="15.75" customHeight="1">
      <c r="E415" s="20"/>
      <c r="H415" s="20"/>
    </row>
    <row r="416" spans="5:8" ht="15.75" customHeight="1">
      <c r="E416" s="20"/>
      <c r="H416" s="20"/>
    </row>
    <row r="417" spans="5:8" ht="15.75" customHeight="1">
      <c r="E417" s="20"/>
      <c r="H417" s="20"/>
    </row>
    <row r="418" spans="5:8" ht="15.75" customHeight="1">
      <c r="E418" s="20"/>
      <c r="H418" s="20"/>
    </row>
    <row r="419" spans="5:8" ht="15.75" customHeight="1">
      <c r="E419" s="20"/>
      <c r="H419" s="20"/>
    </row>
    <row r="420" spans="5:8" ht="15.75" customHeight="1">
      <c r="E420" s="20"/>
      <c r="H420" s="20"/>
    </row>
    <row r="421" spans="5:8" ht="15.75" customHeight="1">
      <c r="E421" s="20"/>
      <c r="H421" s="20"/>
    </row>
    <row r="422" spans="5:8" ht="15.75" customHeight="1">
      <c r="E422" s="20"/>
      <c r="H422" s="20"/>
    </row>
    <row r="423" spans="5:8" ht="15.75" customHeight="1">
      <c r="E423" s="20"/>
      <c r="H423" s="20"/>
    </row>
    <row r="424" spans="5:8" ht="15.75" customHeight="1">
      <c r="E424" s="20"/>
      <c r="H424" s="20"/>
    </row>
    <row r="425" spans="5:8" ht="15.75" customHeight="1">
      <c r="E425" s="20"/>
      <c r="H425" s="20"/>
    </row>
    <row r="426" spans="5:8" ht="15.75" customHeight="1">
      <c r="E426" s="20"/>
      <c r="H426" s="20"/>
    </row>
    <row r="427" spans="5:8" ht="15.75" customHeight="1">
      <c r="E427" s="20"/>
      <c r="H427" s="20"/>
    </row>
    <row r="428" spans="5:8" ht="15.75" customHeight="1">
      <c r="E428" s="20"/>
      <c r="H428" s="20"/>
    </row>
    <row r="429" spans="5:8" ht="15.75" customHeight="1">
      <c r="E429" s="20"/>
      <c r="H429" s="20"/>
    </row>
    <row r="430" spans="5:8" ht="15.75" customHeight="1">
      <c r="E430" s="20"/>
      <c r="H430" s="20"/>
    </row>
    <row r="431" spans="5:8" ht="15.75" customHeight="1">
      <c r="E431" s="20"/>
      <c r="H431" s="20"/>
    </row>
    <row r="432" spans="5:8" ht="15.75" customHeight="1">
      <c r="E432" s="20"/>
      <c r="H432" s="20"/>
    </row>
    <row r="433" spans="5:8" ht="15.75" customHeight="1">
      <c r="E433" s="20"/>
      <c r="H433" s="20"/>
    </row>
    <row r="434" spans="5:8" ht="15.75" customHeight="1">
      <c r="E434" s="20"/>
      <c r="H434" s="20"/>
    </row>
    <row r="435" spans="5:8" ht="15.75" customHeight="1">
      <c r="E435" s="20"/>
      <c r="H435" s="20"/>
    </row>
    <row r="436" spans="5:8" ht="15.75" customHeight="1">
      <c r="E436" s="20"/>
      <c r="H436" s="20"/>
    </row>
    <row r="437" spans="5:8" ht="15.75" customHeight="1">
      <c r="E437" s="20"/>
      <c r="H437" s="20"/>
    </row>
    <row r="438" spans="5:8" ht="15.75" customHeight="1">
      <c r="E438" s="20"/>
      <c r="H438" s="20"/>
    </row>
    <row r="439" spans="5:8" ht="15.75" customHeight="1">
      <c r="E439" s="20"/>
      <c r="H439" s="20"/>
    </row>
    <row r="440" spans="5:8" ht="15.75" customHeight="1">
      <c r="E440" s="20"/>
      <c r="H440" s="20"/>
    </row>
    <row r="441" spans="5:8" ht="15.75" customHeight="1">
      <c r="E441" s="20"/>
      <c r="H441" s="20"/>
    </row>
    <row r="442" spans="5:8" ht="15.75" customHeight="1">
      <c r="E442" s="20"/>
      <c r="H442" s="20"/>
    </row>
    <row r="443" spans="5:8" ht="15.75" customHeight="1">
      <c r="E443" s="20"/>
      <c r="H443" s="20"/>
    </row>
    <row r="444" spans="5:8" ht="15.75" customHeight="1">
      <c r="E444" s="20"/>
      <c r="H444" s="20"/>
    </row>
    <row r="445" spans="5:8" ht="15.75" customHeight="1">
      <c r="E445" s="20"/>
      <c r="H445" s="20"/>
    </row>
    <row r="446" spans="5:8" ht="15.75" customHeight="1">
      <c r="E446" s="20"/>
      <c r="H446" s="20"/>
    </row>
    <row r="447" spans="5:8" ht="15.75" customHeight="1">
      <c r="E447" s="20"/>
      <c r="H447" s="20"/>
    </row>
    <row r="448" spans="5:8" ht="15.75" customHeight="1">
      <c r="E448" s="20"/>
      <c r="H448" s="20"/>
    </row>
    <row r="449" spans="5:8" ht="15.75" customHeight="1">
      <c r="E449" s="20"/>
      <c r="H449" s="20"/>
    </row>
    <row r="450" spans="5:8" ht="15.75" customHeight="1">
      <c r="E450" s="20"/>
      <c r="H450" s="20"/>
    </row>
    <row r="451" spans="5:8" ht="15.75" customHeight="1">
      <c r="E451" s="20"/>
      <c r="H451" s="20"/>
    </row>
    <row r="452" spans="5:8" ht="15.75" customHeight="1">
      <c r="E452" s="20"/>
      <c r="H452" s="20"/>
    </row>
    <row r="453" spans="5:8" ht="15.75" customHeight="1">
      <c r="E453" s="20"/>
      <c r="H453" s="20"/>
    </row>
    <row r="454" spans="5:8" ht="15.75" customHeight="1">
      <c r="E454" s="20"/>
      <c r="H454" s="20"/>
    </row>
    <row r="455" spans="5:8" ht="15.75" customHeight="1">
      <c r="E455" s="20"/>
      <c r="H455" s="20"/>
    </row>
    <row r="456" spans="5:8" ht="15.75" customHeight="1">
      <c r="E456" s="20"/>
      <c r="H456" s="20"/>
    </row>
    <row r="457" spans="5:8" ht="15.75" customHeight="1">
      <c r="E457" s="20"/>
      <c r="H457" s="20"/>
    </row>
    <row r="458" spans="5:8" ht="15.75" customHeight="1">
      <c r="E458" s="20"/>
      <c r="H458" s="20"/>
    </row>
    <row r="459" spans="5:8" ht="15.75" customHeight="1">
      <c r="E459" s="20"/>
      <c r="H459" s="20"/>
    </row>
    <row r="460" spans="5:8" ht="15.75" customHeight="1">
      <c r="E460" s="20"/>
      <c r="H460" s="20"/>
    </row>
    <row r="461" spans="5:8" ht="15.75" customHeight="1">
      <c r="E461" s="20"/>
      <c r="H461" s="20"/>
    </row>
    <row r="462" spans="5:8" ht="15.75" customHeight="1">
      <c r="E462" s="20"/>
      <c r="H462" s="20"/>
    </row>
    <row r="463" spans="5:8" ht="15.75" customHeight="1">
      <c r="E463" s="20"/>
      <c r="H463" s="20"/>
    </row>
    <row r="464" spans="5:8" ht="15.75" customHeight="1">
      <c r="E464" s="20"/>
      <c r="H464" s="20"/>
    </row>
    <row r="465" spans="5:8" ht="15.75" customHeight="1">
      <c r="E465" s="20"/>
      <c r="H465" s="20"/>
    </row>
    <row r="466" spans="5:8" ht="15.75" customHeight="1">
      <c r="E466" s="20"/>
      <c r="H466" s="20"/>
    </row>
    <row r="467" spans="5:8" ht="15.75" customHeight="1">
      <c r="E467" s="20"/>
      <c r="H467" s="20"/>
    </row>
    <row r="468" spans="5:8" ht="15.75" customHeight="1">
      <c r="E468" s="20"/>
      <c r="H468" s="20"/>
    </row>
    <row r="469" spans="5:8" ht="15.75" customHeight="1">
      <c r="E469" s="20"/>
      <c r="H469" s="20"/>
    </row>
    <row r="470" spans="5:8" ht="15.75" customHeight="1">
      <c r="E470" s="20"/>
      <c r="H470" s="20"/>
    </row>
    <row r="471" spans="5:8" ht="15.75" customHeight="1">
      <c r="E471" s="20"/>
      <c r="H471" s="20"/>
    </row>
    <row r="472" spans="5:8" ht="15.75" customHeight="1">
      <c r="E472" s="20"/>
      <c r="H472" s="20"/>
    </row>
    <row r="473" spans="5:8" ht="15.75" customHeight="1">
      <c r="E473" s="20"/>
      <c r="H473" s="20"/>
    </row>
    <row r="474" spans="5:8" ht="15.75" customHeight="1">
      <c r="E474" s="20"/>
      <c r="H474" s="20"/>
    </row>
    <row r="475" spans="5:8" ht="15.75" customHeight="1">
      <c r="E475" s="20"/>
      <c r="H475" s="20"/>
    </row>
    <row r="476" spans="5:8" ht="15.75" customHeight="1">
      <c r="E476" s="20"/>
      <c r="H476" s="20"/>
    </row>
    <row r="477" spans="5:8" ht="15.75" customHeight="1">
      <c r="E477" s="20"/>
      <c r="H477" s="20"/>
    </row>
    <row r="478" spans="5:8" ht="15.75" customHeight="1">
      <c r="E478" s="20"/>
      <c r="H478" s="20"/>
    </row>
    <row r="479" spans="5:8" ht="15.75" customHeight="1">
      <c r="E479" s="20"/>
      <c r="H479" s="20"/>
    </row>
    <row r="480" spans="5:8" ht="15.75" customHeight="1">
      <c r="E480" s="20"/>
      <c r="H480" s="20"/>
    </row>
    <row r="481" spans="5:8" ht="15.75" customHeight="1">
      <c r="E481" s="20"/>
      <c r="H481" s="20"/>
    </row>
    <row r="482" spans="5:8" ht="15.75" customHeight="1">
      <c r="E482" s="20"/>
      <c r="H482" s="20"/>
    </row>
    <row r="483" spans="5:8" ht="15.75" customHeight="1">
      <c r="E483" s="20"/>
      <c r="H483" s="20"/>
    </row>
    <row r="484" spans="5:8" ht="15.75" customHeight="1">
      <c r="E484" s="20"/>
      <c r="H484" s="20"/>
    </row>
    <row r="485" spans="5:8" ht="15.75" customHeight="1">
      <c r="E485" s="20"/>
      <c r="H485" s="20"/>
    </row>
    <row r="486" spans="5:8" ht="15.75" customHeight="1">
      <c r="E486" s="20"/>
      <c r="H486" s="20"/>
    </row>
    <row r="487" spans="5:8" ht="15.75" customHeight="1">
      <c r="E487" s="20"/>
      <c r="H487" s="20"/>
    </row>
    <row r="488" spans="5:8" ht="15.75" customHeight="1">
      <c r="E488" s="20"/>
      <c r="H488" s="20"/>
    </row>
    <row r="489" spans="5:8" ht="15.75" customHeight="1">
      <c r="E489" s="20"/>
      <c r="H489" s="20"/>
    </row>
    <row r="490" spans="5:8" ht="15.75" customHeight="1">
      <c r="E490" s="20"/>
      <c r="H490" s="20"/>
    </row>
    <row r="491" spans="5:8" ht="15.75" customHeight="1">
      <c r="E491" s="20"/>
      <c r="H491" s="20"/>
    </row>
    <row r="492" spans="5:8" ht="15.75" customHeight="1">
      <c r="E492" s="20"/>
      <c r="H492" s="20"/>
    </row>
    <row r="493" spans="5:8" ht="15.75" customHeight="1">
      <c r="E493" s="20"/>
      <c r="H493" s="20"/>
    </row>
    <row r="494" spans="5:8" ht="15.75" customHeight="1">
      <c r="E494" s="20"/>
      <c r="H494" s="20"/>
    </row>
    <row r="495" spans="5:8" ht="15.75" customHeight="1">
      <c r="E495" s="20"/>
      <c r="H495" s="20"/>
    </row>
    <row r="496" spans="5:8" ht="15.75" customHeight="1">
      <c r="E496" s="20"/>
      <c r="H496" s="20"/>
    </row>
    <row r="497" spans="5:8" ht="15.75" customHeight="1">
      <c r="E497" s="20"/>
      <c r="H497" s="20"/>
    </row>
    <row r="498" spans="5:8" ht="15.75" customHeight="1">
      <c r="E498" s="20"/>
      <c r="H498" s="20"/>
    </row>
    <row r="499" spans="5:8" ht="15.75" customHeight="1">
      <c r="E499" s="20"/>
      <c r="H499" s="20"/>
    </row>
    <row r="500" spans="5:8" ht="15.75" customHeight="1">
      <c r="E500" s="20"/>
      <c r="H500" s="20"/>
    </row>
    <row r="501" spans="5:8" ht="15.75" customHeight="1">
      <c r="E501" s="20"/>
      <c r="H501" s="20"/>
    </row>
    <row r="502" spans="5:8" ht="15.75" customHeight="1">
      <c r="E502" s="20"/>
      <c r="H502" s="20"/>
    </row>
    <row r="503" spans="5:8" ht="15.75" customHeight="1">
      <c r="E503" s="20"/>
      <c r="H503" s="20"/>
    </row>
    <row r="504" spans="5:8" ht="15.75" customHeight="1">
      <c r="E504" s="20"/>
      <c r="H504" s="20"/>
    </row>
    <row r="505" spans="5:8" ht="15.75" customHeight="1">
      <c r="E505" s="20"/>
      <c r="H505" s="20"/>
    </row>
    <row r="506" spans="5:8" ht="15.75" customHeight="1">
      <c r="E506" s="20"/>
      <c r="H506" s="20"/>
    </row>
    <row r="507" spans="5:8" ht="15.75" customHeight="1">
      <c r="E507" s="20"/>
      <c r="H507" s="20"/>
    </row>
    <row r="508" spans="5:8" ht="15.75" customHeight="1">
      <c r="E508" s="20"/>
      <c r="H508" s="20"/>
    </row>
    <row r="509" spans="5:8" ht="15.75" customHeight="1">
      <c r="E509" s="20"/>
      <c r="H509" s="20"/>
    </row>
    <row r="510" spans="5:8" ht="15.75" customHeight="1">
      <c r="E510" s="20"/>
      <c r="H510" s="20"/>
    </row>
    <row r="511" spans="5:8" ht="15.75" customHeight="1">
      <c r="E511" s="20"/>
      <c r="H511" s="20"/>
    </row>
    <row r="512" spans="5:8" ht="15.75" customHeight="1">
      <c r="E512" s="20"/>
      <c r="H512" s="20"/>
    </row>
    <row r="513" spans="5:8" ht="15.75" customHeight="1">
      <c r="E513" s="20"/>
      <c r="H513" s="20"/>
    </row>
    <row r="514" spans="5:8" ht="15.75" customHeight="1">
      <c r="E514" s="20"/>
      <c r="H514" s="20"/>
    </row>
    <row r="515" spans="5:8" ht="15.75" customHeight="1">
      <c r="E515" s="20"/>
      <c r="H515" s="20"/>
    </row>
    <row r="516" spans="5:8" ht="15.75" customHeight="1">
      <c r="E516" s="20"/>
      <c r="H516" s="20"/>
    </row>
    <row r="517" spans="5:8" ht="15.75" customHeight="1">
      <c r="E517" s="20"/>
      <c r="H517" s="20"/>
    </row>
    <row r="518" spans="5:8" ht="15.75" customHeight="1">
      <c r="E518" s="20"/>
      <c r="H518" s="20"/>
    </row>
    <row r="519" spans="5:8" ht="15.75" customHeight="1">
      <c r="E519" s="20"/>
      <c r="H519" s="20"/>
    </row>
    <row r="520" spans="5:8" ht="15.75" customHeight="1">
      <c r="E520" s="20"/>
      <c r="H520" s="20"/>
    </row>
    <row r="521" spans="5:8" ht="15.75" customHeight="1">
      <c r="E521" s="20"/>
      <c r="H521" s="20"/>
    </row>
    <row r="522" spans="5:8" ht="15.75" customHeight="1">
      <c r="E522" s="20"/>
      <c r="H522" s="20"/>
    </row>
    <row r="523" spans="5:8" ht="15.75" customHeight="1">
      <c r="E523" s="20"/>
      <c r="H523" s="20"/>
    </row>
    <row r="524" spans="5:8" ht="15.75" customHeight="1">
      <c r="E524" s="20"/>
      <c r="H524" s="20"/>
    </row>
    <row r="525" spans="5:8" ht="15.75" customHeight="1">
      <c r="E525" s="20"/>
      <c r="H525" s="20"/>
    </row>
    <row r="526" spans="5:8" ht="15.75" customHeight="1">
      <c r="E526" s="20"/>
      <c r="H526" s="20"/>
    </row>
    <row r="527" spans="5:8" ht="15.75" customHeight="1">
      <c r="E527" s="20"/>
      <c r="H527" s="20"/>
    </row>
    <row r="528" spans="5:8" ht="15.75" customHeight="1">
      <c r="E528" s="20"/>
      <c r="H528" s="20"/>
    </row>
    <row r="529" spans="5:8" ht="15.75" customHeight="1">
      <c r="E529" s="20"/>
      <c r="H529" s="20"/>
    </row>
    <row r="530" spans="5:8" ht="15.75" customHeight="1">
      <c r="E530" s="20"/>
      <c r="H530" s="20"/>
    </row>
    <row r="531" spans="5:8" ht="15.75" customHeight="1">
      <c r="E531" s="20"/>
      <c r="H531" s="20"/>
    </row>
    <row r="532" spans="5:8" ht="15.75" customHeight="1">
      <c r="E532" s="20"/>
      <c r="H532" s="20"/>
    </row>
    <row r="533" spans="5:8" ht="15.75" customHeight="1">
      <c r="E533" s="20"/>
      <c r="H533" s="20"/>
    </row>
    <row r="534" spans="5:8" ht="15.75" customHeight="1">
      <c r="E534" s="20"/>
      <c r="H534" s="20"/>
    </row>
    <row r="535" spans="5:8" ht="15.75" customHeight="1">
      <c r="E535" s="20"/>
      <c r="H535" s="20"/>
    </row>
    <row r="536" spans="5:8" ht="15.75" customHeight="1">
      <c r="E536" s="20"/>
      <c r="H536" s="20"/>
    </row>
    <row r="537" spans="5:8" ht="15.75" customHeight="1">
      <c r="E537" s="20"/>
      <c r="H537" s="20"/>
    </row>
    <row r="538" spans="5:8" ht="15.75" customHeight="1">
      <c r="E538" s="20"/>
      <c r="H538" s="20"/>
    </row>
    <row r="539" spans="5:8" ht="15.75" customHeight="1">
      <c r="E539" s="20"/>
      <c r="H539" s="20"/>
    </row>
    <row r="540" spans="5:8" ht="15.75" customHeight="1">
      <c r="E540" s="20"/>
      <c r="H540" s="20"/>
    </row>
    <row r="541" spans="5:8" ht="15.75" customHeight="1">
      <c r="E541" s="20"/>
      <c r="H541" s="20"/>
    </row>
    <row r="542" spans="5:8" ht="15.75" customHeight="1">
      <c r="E542" s="20"/>
      <c r="H542" s="20"/>
    </row>
    <row r="543" spans="5:8" ht="15.75" customHeight="1">
      <c r="E543" s="20"/>
      <c r="H543" s="20"/>
    </row>
    <row r="544" spans="5:8" ht="15.75" customHeight="1">
      <c r="E544" s="20"/>
      <c r="H544" s="20"/>
    </row>
    <row r="545" spans="5:8" ht="15.75" customHeight="1">
      <c r="E545" s="20"/>
      <c r="H545" s="20"/>
    </row>
    <row r="546" spans="5:8" ht="15.75" customHeight="1">
      <c r="E546" s="20"/>
      <c r="H546" s="20"/>
    </row>
    <row r="547" spans="5:8" ht="15.75" customHeight="1">
      <c r="E547" s="20"/>
      <c r="H547" s="20"/>
    </row>
    <row r="548" spans="5:8" ht="15.75" customHeight="1">
      <c r="E548" s="20"/>
      <c r="H548" s="20"/>
    </row>
    <row r="549" spans="5:8" ht="15.75" customHeight="1">
      <c r="E549" s="20"/>
      <c r="H549" s="20"/>
    </row>
    <row r="550" spans="5:8" ht="15.75" customHeight="1">
      <c r="E550" s="20"/>
      <c r="H550" s="20"/>
    </row>
    <row r="551" spans="5:8" ht="15.75" customHeight="1">
      <c r="E551" s="20"/>
      <c r="H551" s="20"/>
    </row>
    <row r="552" spans="5:8" ht="15.75" customHeight="1">
      <c r="E552" s="20"/>
      <c r="H552" s="20"/>
    </row>
    <row r="553" spans="5:8" ht="15.75" customHeight="1">
      <c r="E553" s="20"/>
      <c r="H553" s="20"/>
    </row>
    <row r="554" spans="5:8" ht="15.75" customHeight="1">
      <c r="E554" s="20"/>
      <c r="H554" s="20"/>
    </row>
    <row r="555" spans="5:8" ht="15.75" customHeight="1">
      <c r="E555" s="20"/>
      <c r="H555" s="20"/>
    </row>
    <row r="556" spans="5:8" ht="15.75" customHeight="1">
      <c r="E556" s="20"/>
      <c r="H556" s="20"/>
    </row>
    <row r="557" spans="5:8" ht="15.75" customHeight="1">
      <c r="E557" s="20"/>
      <c r="H557" s="20"/>
    </row>
    <row r="558" spans="5:8" ht="15.75" customHeight="1">
      <c r="E558" s="20"/>
      <c r="H558" s="20"/>
    </row>
    <row r="559" spans="5:8" ht="15.75" customHeight="1">
      <c r="E559" s="20"/>
      <c r="H559" s="20"/>
    </row>
    <row r="560" spans="5:8" ht="15.75" customHeight="1">
      <c r="E560" s="20"/>
      <c r="H560" s="20"/>
    </row>
    <row r="561" spans="5:8" ht="15.75" customHeight="1">
      <c r="E561" s="20"/>
      <c r="H561" s="20"/>
    </row>
    <row r="562" spans="5:8" ht="15.75" customHeight="1">
      <c r="E562" s="20"/>
      <c r="H562" s="20"/>
    </row>
    <row r="563" spans="5:8" ht="15.75" customHeight="1">
      <c r="E563" s="20"/>
      <c r="H563" s="20"/>
    </row>
    <row r="564" spans="5:8" ht="15.75" customHeight="1">
      <c r="E564" s="20"/>
      <c r="H564" s="20"/>
    </row>
    <row r="565" spans="5:8" ht="15.75" customHeight="1">
      <c r="E565" s="20"/>
      <c r="H565" s="20"/>
    </row>
    <row r="566" spans="5:8" ht="15.75" customHeight="1">
      <c r="E566" s="20"/>
      <c r="H566" s="20"/>
    </row>
    <row r="567" spans="5:8" ht="15.75" customHeight="1">
      <c r="E567" s="20"/>
      <c r="H567" s="20"/>
    </row>
    <row r="568" spans="5:8" ht="15.75" customHeight="1">
      <c r="E568" s="20"/>
      <c r="H568" s="20"/>
    </row>
    <row r="569" spans="5:8" ht="15.75" customHeight="1">
      <c r="E569" s="20"/>
      <c r="H569" s="20"/>
    </row>
    <row r="570" spans="5:8" ht="15.75" customHeight="1">
      <c r="E570" s="20"/>
      <c r="H570" s="20"/>
    </row>
    <row r="571" spans="5:8" ht="15.75" customHeight="1">
      <c r="E571" s="20"/>
      <c r="H571" s="20"/>
    </row>
    <row r="572" spans="5:8" ht="15.75" customHeight="1">
      <c r="E572" s="20"/>
      <c r="H572" s="20"/>
    </row>
    <row r="573" spans="5:8" ht="15.75" customHeight="1">
      <c r="E573" s="20"/>
      <c r="H573" s="20"/>
    </row>
    <row r="574" spans="5:8" ht="15.75" customHeight="1">
      <c r="E574" s="20"/>
      <c r="H574" s="20"/>
    </row>
    <row r="575" spans="5:8" ht="15.75" customHeight="1">
      <c r="E575" s="20"/>
      <c r="H575" s="20"/>
    </row>
    <row r="576" spans="5:8" ht="15.75" customHeight="1">
      <c r="E576" s="20"/>
      <c r="H576" s="20"/>
    </row>
    <row r="577" spans="5:8" ht="15.75" customHeight="1">
      <c r="E577" s="20"/>
      <c r="H577" s="20"/>
    </row>
    <row r="578" spans="5:8" ht="15.75" customHeight="1">
      <c r="E578" s="20"/>
      <c r="H578" s="20"/>
    </row>
    <row r="579" spans="5:8" ht="15.75" customHeight="1">
      <c r="E579" s="20"/>
      <c r="H579" s="20"/>
    </row>
    <row r="580" spans="5:8" ht="15.75" customHeight="1">
      <c r="E580" s="20"/>
      <c r="H580" s="20"/>
    </row>
    <row r="581" spans="5:8" ht="15.75" customHeight="1">
      <c r="E581" s="20"/>
      <c r="H581" s="20"/>
    </row>
    <row r="582" spans="5:8" ht="15.75" customHeight="1">
      <c r="E582" s="20"/>
      <c r="H582" s="20"/>
    </row>
    <row r="583" spans="5:8" ht="15.75" customHeight="1">
      <c r="E583" s="20"/>
      <c r="H583" s="20"/>
    </row>
    <row r="584" spans="5:8" ht="15.75" customHeight="1">
      <c r="E584" s="20"/>
      <c r="H584" s="20"/>
    </row>
    <row r="585" spans="5:8" ht="15.75" customHeight="1">
      <c r="E585" s="20"/>
      <c r="H585" s="20"/>
    </row>
    <row r="586" spans="5:8" ht="15.75" customHeight="1">
      <c r="E586" s="20"/>
      <c r="H586" s="20"/>
    </row>
    <row r="587" spans="5:8" ht="15.75" customHeight="1">
      <c r="E587" s="20"/>
      <c r="H587" s="20"/>
    </row>
    <row r="588" spans="5:8" ht="15.75" customHeight="1">
      <c r="E588" s="20"/>
      <c r="H588" s="20"/>
    </row>
    <row r="589" spans="5:8" ht="15.75" customHeight="1">
      <c r="E589" s="20"/>
      <c r="H589" s="20"/>
    </row>
    <row r="590" spans="5:8" ht="15.75" customHeight="1">
      <c r="E590" s="20"/>
      <c r="H590" s="20"/>
    </row>
    <row r="591" spans="5:8" ht="15.75" customHeight="1">
      <c r="E591" s="20"/>
      <c r="H591" s="20"/>
    </row>
    <row r="592" spans="5:8" ht="15.75" customHeight="1">
      <c r="E592" s="20"/>
      <c r="H592" s="20"/>
    </row>
    <row r="593" spans="5:8" ht="15.75" customHeight="1">
      <c r="E593" s="20"/>
      <c r="H593" s="20"/>
    </row>
    <row r="594" spans="5:8" ht="15.75" customHeight="1">
      <c r="E594" s="20"/>
      <c r="H594" s="20"/>
    </row>
    <row r="595" spans="5:8" ht="15.75" customHeight="1">
      <c r="E595" s="20"/>
      <c r="H595" s="20"/>
    </row>
    <row r="596" spans="5:8" ht="15.75" customHeight="1">
      <c r="E596" s="20"/>
      <c r="H596" s="20"/>
    </row>
    <row r="597" spans="5:8" ht="15.75" customHeight="1">
      <c r="E597" s="20"/>
      <c r="H597" s="20"/>
    </row>
    <row r="598" spans="5:8" ht="15.75" customHeight="1">
      <c r="E598" s="20"/>
      <c r="H598" s="20"/>
    </row>
    <row r="599" spans="5:8" ht="15.75" customHeight="1">
      <c r="E599" s="20"/>
      <c r="H599" s="20"/>
    </row>
    <row r="600" spans="5:8" ht="15.75" customHeight="1">
      <c r="E600" s="20"/>
      <c r="H600" s="20"/>
    </row>
    <row r="601" spans="5:8" ht="15.75" customHeight="1">
      <c r="E601" s="20"/>
      <c r="H601" s="20"/>
    </row>
    <row r="602" spans="5:8" ht="15.75" customHeight="1">
      <c r="E602" s="20"/>
      <c r="H602" s="20"/>
    </row>
    <row r="603" spans="5:8" ht="15.75" customHeight="1">
      <c r="E603" s="20"/>
      <c r="H603" s="20"/>
    </row>
    <row r="604" spans="5:8" ht="15.75" customHeight="1">
      <c r="E604" s="20"/>
      <c r="H604" s="20"/>
    </row>
    <row r="605" spans="5:8" ht="15.75" customHeight="1">
      <c r="E605" s="20"/>
      <c r="H605" s="20"/>
    </row>
    <row r="606" spans="5:8" ht="15.75" customHeight="1">
      <c r="E606" s="20"/>
      <c r="H606" s="20"/>
    </row>
    <row r="607" spans="5:8" ht="15.75" customHeight="1">
      <c r="E607" s="20"/>
      <c r="H607" s="20"/>
    </row>
    <row r="608" spans="5:8" ht="15.75" customHeight="1">
      <c r="E608" s="20"/>
      <c r="H608" s="20"/>
    </row>
    <row r="609" spans="5:8" ht="15.75" customHeight="1">
      <c r="E609" s="20"/>
      <c r="H609" s="20"/>
    </row>
    <row r="610" spans="5:8" ht="15.75" customHeight="1">
      <c r="E610" s="20"/>
      <c r="H610" s="20"/>
    </row>
    <row r="611" spans="5:8" ht="15.75" customHeight="1">
      <c r="E611" s="20"/>
      <c r="H611" s="20"/>
    </row>
    <row r="612" spans="5:8" ht="15.75" customHeight="1">
      <c r="E612" s="20"/>
      <c r="H612" s="20"/>
    </row>
    <row r="613" spans="5:8" ht="15.75" customHeight="1">
      <c r="E613" s="20"/>
      <c r="H613" s="20"/>
    </row>
    <row r="614" spans="5:8" ht="15.75" customHeight="1">
      <c r="E614" s="20"/>
      <c r="H614" s="20"/>
    </row>
    <row r="615" spans="5:8" ht="15.75" customHeight="1">
      <c r="E615" s="20"/>
      <c r="H615" s="20"/>
    </row>
    <row r="616" spans="5:8" ht="15.75" customHeight="1">
      <c r="E616" s="20"/>
      <c r="H616" s="20"/>
    </row>
    <row r="617" spans="5:8" ht="15.75" customHeight="1">
      <c r="E617" s="20"/>
      <c r="H617" s="20"/>
    </row>
    <row r="618" spans="5:8" ht="15.75" customHeight="1">
      <c r="E618" s="20"/>
      <c r="H618" s="20"/>
    </row>
    <row r="619" spans="5:8" ht="15.75" customHeight="1">
      <c r="E619" s="20"/>
      <c r="H619" s="20"/>
    </row>
    <row r="620" spans="5:8" ht="15.75" customHeight="1">
      <c r="E620" s="20"/>
      <c r="H620" s="20"/>
    </row>
    <row r="621" spans="5:8" ht="15.75" customHeight="1">
      <c r="E621" s="20"/>
      <c r="H621" s="20"/>
    </row>
    <row r="622" spans="5:8" ht="15.75" customHeight="1">
      <c r="E622" s="20"/>
      <c r="H622" s="20"/>
    </row>
    <row r="623" spans="5:8" ht="15.75" customHeight="1">
      <c r="E623" s="20"/>
      <c r="H623" s="20"/>
    </row>
    <row r="624" spans="5:8" ht="15.75" customHeight="1">
      <c r="E624" s="20"/>
      <c r="H624" s="20"/>
    </row>
    <row r="625" spans="5:8" ht="15.75" customHeight="1">
      <c r="E625" s="20"/>
      <c r="H625" s="20"/>
    </row>
    <row r="626" spans="5:8" ht="15.75" customHeight="1">
      <c r="E626" s="20"/>
      <c r="H626" s="20"/>
    </row>
    <row r="627" spans="5:8" ht="15.75" customHeight="1">
      <c r="E627" s="20"/>
      <c r="H627" s="20"/>
    </row>
    <row r="628" spans="5:8" ht="15.75" customHeight="1">
      <c r="E628" s="20"/>
      <c r="H628" s="20"/>
    </row>
    <row r="629" spans="5:8" ht="15.75" customHeight="1">
      <c r="E629" s="20"/>
      <c r="H629" s="20"/>
    </row>
    <row r="630" spans="5:8" ht="15.75" customHeight="1">
      <c r="E630" s="20"/>
      <c r="H630" s="20"/>
    </row>
    <row r="631" spans="5:8" ht="15.75" customHeight="1">
      <c r="E631" s="20"/>
      <c r="H631" s="20"/>
    </row>
    <row r="632" spans="5:8" ht="15.75" customHeight="1">
      <c r="E632" s="20"/>
      <c r="H632" s="20"/>
    </row>
    <row r="633" spans="5:8" ht="15.75" customHeight="1">
      <c r="E633" s="20"/>
      <c r="H633" s="20"/>
    </row>
    <row r="634" spans="5:8" ht="15.75" customHeight="1">
      <c r="E634" s="20"/>
      <c r="H634" s="20"/>
    </row>
    <row r="635" spans="5:8" ht="15.75" customHeight="1">
      <c r="E635" s="20"/>
      <c r="H635" s="20"/>
    </row>
    <row r="636" spans="5:8" ht="15.75" customHeight="1">
      <c r="E636" s="20"/>
      <c r="H636" s="20"/>
    </row>
    <row r="637" spans="5:8" ht="15.75" customHeight="1">
      <c r="E637" s="20"/>
      <c r="H637" s="20"/>
    </row>
    <row r="638" spans="5:8" ht="15.75" customHeight="1">
      <c r="E638" s="20"/>
      <c r="H638" s="20"/>
    </row>
    <row r="639" spans="5:8" ht="15.75" customHeight="1">
      <c r="E639" s="20"/>
      <c r="H639" s="20"/>
    </row>
    <row r="640" spans="5:8" ht="15.75" customHeight="1">
      <c r="E640" s="20"/>
      <c r="H640" s="20"/>
    </row>
    <row r="641" spans="5:8" ht="15.75" customHeight="1">
      <c r="E641" s="20"/>
      <c r="H641" s="20"/>
    </row>
    <row r="642" spans="5:8" ht="15.75" customHeight="1">
      <c r="E642" s="20"/>
      <c r="H642" s="20"/>
    </row>
    <row r="643" spans="5:8" ht="15.75" customHeight="1">
      <c r="E643" s="20"/>
      <c r="H643" s="20"/>
    </row>
    <row r="644" spans="5:8" ht="15.75" customHeight="1">
      <c r="E644" s="20"/>
      <c r="H644" s="20"/>
    </row>
    <row r="645" spans="5:8" ht="15.75" customHeight="1">
      <c r="E645" s="20"/>
      <c r="H645" s="20"/>
    </row>
    <row r="646" spans="5:8" ht="15.75" customHeight="1">
      <c r="E646" s="20"/>
      <c r="H646" s="20"/>
    </row>
    <row r="647" spans="5:8" ht="15.75" customHeight="1">
      <c r="E647" s="20"/>
      <c r="H647" s="20"/>
    </row>
    <row r="648" spans="5:8" ht="15.75" customHeight="1">
      <c r="E648" s="20"/>
      <c r="H648" s="20"/>
    </row>
    <row r="649" spans="5:8" ht="15.75" customHeight="1">
      <c r="E649" s="20"/>
      <c r="H649" s="20"/>
    </row>
    <row r="650" spans="5:8" ht="15.75" customHeight="1">
      <c r="E650" s="20"/>
      <c r="H650" s="20"/>
    </row>
    <row r="651" spans="5:8" ht="15.75" customHeight="1">
      <c r="E651" s="20"/>
      <c r="H651" s="20"/>
    </row>
    <row r="652" spans="5:8" ht="15.75" customHeight="1">
      <c r="E652" s="20"/>
      <c r="H652" s="20"/>
    </row>
    <row r="653" spans="5:8" ht="15.75" customHeight="1">
      <c r="E653" s="20"/>
      <c r="H653" s="20"/>
    </row>
    <row r="654" spans="5:8" ht="15.75" customHeight="1">
      <c r="E654" s="20"/>
      <c r="H654" s="20"/>
    </row>
    <row r="655" spans="5:8" ht="15.75" customHeight="1">
      <c r="E655" s="20"/>
      <c r="H655" s="20"/>
    </row>
    <row r="656" spans="5:8" ht="15.75" customHeight="1">
      <c r="E656" s="20"/>
      <c r="H656" s="20"/>
    </row>
    <row r="657" spans="5:8" ht="15.75" customHeight="1">
      <c r="E657" s="20"/>
      <c r="H657" s="20"/>
    </row>
    <row r="658" spans="5:8" ht="15.75" customHeight="1">
      <c r="E658" s="20"/>
      <c r="H658" s="20"/>
    </row>
    <row r="659" spans="5:8" ht="15.75" customHeight="1">
      <c r="E659" s="20"/>
      <c r="H659" s="20"/>
    </row>
    <row r="660" spans="5:8" ht="15.75" customHeight="1">
      <c r="E660" s="20"/>
      <c r="H660" s="20"/>
    </row>
    <row r="661" spans="5:8" ht="15.75" customHeight="1">
      <c r="E661" s="20"/>
      <c r="H661" s="20"/>
    </row>
    <row r="662" spans="5:8" ht="15.75" customHeight="1">
      <c r="E662" s="20"/>
      <c r="H662" s="20"/>
    </row>
    <row r="663" spans="5:8" ht="15.75" customHeight="1">
      <c r="E663" s="20"/>
      <c r="H663" s="20"/>
    </row>
    <row r="664" spans="5:8" ht="15.75" customHeight="1">
      <c r="E664" s="20"/>
      <c r="H664" s="20"/>
    </row>
    <row r="665" spans="5:8" ht="15.75" customHeight="1">
      <c r="E665" s="20"/>
      <c r="H665" s="20"/>
    </row>
    <row r="666" spans="5:8" ht="15.75" customHeight="1">
      <c r="E666" s="20"/>
      <c r="H666" s="20"/>
    </row>
    <row r="667" spans="5:8" ht="15.75" customHeight="1">
      <c r="E667" s="20"/>
      <c r="H667" s="20"/>
    </row>
    <row r="668" spans="5:8" ht="15.75" customHeight="1">
      <c r="E668" s="20"/>
      <c r="H668" s="20"/>
    </row>
    <row r="669" spans="5:8" ht="15.75" customHeight="1">
      <c r="E669" s="20"/>
      <c r="H669" s="20"/>
    </row>
    <row r="670" spans="5:8" ht="15.75" customHeight="1">
      <c r="E670" s="20"/>
      <c r="H670" s="20"/>
    </row>
    <row r="671" spans="5:8" ht="15.75" customHeight="1">
      <c r="E671" s="20"/>
      <c r="H671" s="20"/>
    </row>
    <row r="672" spans="5:8" ht="15.75" customHeight="1">
      <c r="E672" s="20"/>
      <c r="H672" s="20"/>
    </row>
    <row r="673" spans="5:8" ht="15.75" customHeight="1">
      <c r="E673" s="20"/>
      <c r="H673" s="20"/>
    </row>
    <row r="674" spans="5:8" ht="15.75" customHeight="1">
      <c r="E674" s="20"/>
      <c r="H674" s="20"/>
    </row>
    <row r="675" spans="5:8" ht="15.75" customHeight="1">
      <c r="E675" s="20"/>
      <c r="H675" s="20"/>
    </row>
    <row r="676" spans="5:8" ht="15.75" customHeight="1">
      <c r="E676" s="20"/>
      <c r="H676" s="20"/>
    </row>
    <row r="677" spans="5:8" ht="15.75" customHeight="1">
      <c r="E677" s="20"/>
      <c r="H677" s="20"/>
    </row>
    <row r="678" spans="5:8" ht="15.75" customHeight="1">
      <c r="E678" s="20"/>
      <c r="H678" s="20"/>
    </row>
    <row r="679" spans="5:8" ht="15.75" customHeight="1">
      <c r="E679" s="20"/>
      <c r="H679" s="20"/>
    </row>
    <row r="680" spans="5:8" ht="15.75" customHeight="1">
      <c r="E680" s="20"/>
      <c r="H680" s="20"/>
    </row>
    <row r="681" spans="5:8" ht="15.75" customHeight="1">
      <c r="E681" s="20"/>
      <c r="H681" s="20"/>
    </row>
    <row r="682" spans="5:8" ht="15.75" customHeight="1">
      <c r="E682" s="20"/>
      <c r="H682" s="20"/>
    </row>
    <row r="683" spans="5:8" ht="15.75" customHeight="1">
      <c r="E683" s="20"/>
      <c r="H683" s="20"/>
    </row>
    <row r="684" spans="5:8" ht="15.75" customHeight="1">
      <c r="E684" s="20"/>
      <c r="H684" s="20"/>
    </row>
    <row r="685" spans="5:8" ht="15.75" customHeight="1">
      <c r="E685" s="20"/>
      <c r="H685" s="20"/>
    </row>
    <row r="686" spans="5:8" ht="15.75" customHeight="1">
      <c r="E686" s="20"/>
      <c r="H686" s="20"/>
    </row>
    <row r="687" spans="5:8" ht="15.75" customHeight="1">
      <c r="E687" s="20"/>
      <c r="H687" s="20"/>
    </row>
    <row r="688" spans="5:8" ht="15.75" customHeight="1">
      <c r="E688" s="20"/>
      <c r="H688" s="20"/>
    </row>
    <row r="689" spans="5:8" ht="15.75" customHeight="1">
      <c r="E689" s="20"/>
      <c r="H689" s="20"/>
    </row>
    <row r="690" spans="5:8" ht="15.75" customHeight="1">
      <c r="E690" s="20"/>
      <c r="H690" s="20"/>
    </row>
    <row r="691" spans="5:8" ht="15.75" customHeight="1">
      <c r="E691" s="20"/>
      <c r="H691" s="20"/>
    </row>
    <row r="692" spans="5:8" ht="15.75" customHeight="1">
      <c r="E692" s="20"/>
      <c r="H692" s="20"/>
    </row>
    <row r="693" spans="5:8" ht="15.75" customHeight="1">
      <c r="E693" s="20"/>
      <c r="H693" s="20"/>
    </row>
    <row r="694" spans="5:8" ht="15.75" customHeight="1">
      <c r="E694" s="20"/>
      <c r="H694" s="20"/>
    </row>
    <row r="695" spans="5:8" ht="15.75" customHeight="1">
      <c r="E695" s="20"/>
      <c r="H695" s="20"/>
    </row>
    <row r="696" spans="5:8" ht="15.75" customHeight="1">
      <c r="E696" s="20"/>
      <c r="H696" s="20"/>
    </row>
    <row r="697" spans="5:8" ht="15.75" customHeight="1">
      <c r="E697" s="20"/>
      <c r="H697" s="20"/>
    </row>
    <row r="698" spans="5:8" ht="15.75" customHeight="1">
      <c r="E698" s="20"/>
      <c r="H698" s="20"/>
    </row>
    <row r="699" spans="5:8" ht="15.75" customHeight="1">
      <c r="E699" s="20"/>
      <c r="H699" s="20"/>
    </row>
    <row r="700" spans="5:8" ht="15.75" customHeight="1">
      <c r="E700" s="20"/>
      <c r="H700" s="20"/>
    </row>
    <row r="701" spans="5:8" ht="15.75" customHeight="1">
      <c r="E701" s="20"/>
      <c r="H701" s="20"/>
    </row>
    <row r="702" spans="5:8" ht="15.75" customHeight="1">
      <c r="E702" s="20"/>
      <c r="H702" s="20"/>
    </row>
    <row r="703" spans="5:8" ht="15.75" customHeight="1">
      <c r="E703" s="20"/>
      <c r="H703" s="20"/>
    </row>
    <row r="704" spans="5:8" ht="15.75" customHeight="1">
      <c r="E704" s="20"/>
      <c r="H704" s="20"/>
    </row>
    <row r="705" spans="5:8" ht="15.75" customHeight="1">
      <c r="E705" s="20"/>
      <c r="H705" s="20"/>
    </row>
    <row r="706" spans="5:8" ht="15.75" customHeight="1">
      <c r="E706" s="20"/>
      <c r="H706" s="20"/>
    </row>
    <row r="707" spans="5:8" ht="15.75" customHeight="1">
      <c r="E707" s="20"/>
      <c r="H707" s="20"/>
    </row>
    <row r="708" spans="5:8" ht="15.75" customHeight="1">
      <c r="E708" s="20"/>
      <c r="H708" s="20"/>
    </row>
    <row r="709" spans="5:8" ht="15.75" customHeight="1">
      <c r="E709" s="20"/>
      <c r="H709" s="20"/>
    </row>
    <row r="710" spans="5:8" ht="15.75" customHeight="1">
      <c r="E710" s="20"/>
      <c r="H710" s="20"/>
    </row>
    <row r="711" spans="5:8" ht="15.75" customHeight="1">
      <c r="E711" s="20"/>
      <c r="H711" s="20"/>
    </row>
    <row r="712" spans="5:8" ht="15.75" customHeight="1">
      <c r="E712" s="20"/>
      <c r="H712" s="20"/>
    </row>
    <row r="713" spans="5:8" ht="15.75" customHeight="1">
      <c r="E713" s="20"/>
      <c r="H713" s="20"/>
    </row>
    <row r="714" spans="5:8" ht="15.75" customHeight="1">
      <c r="E714" s="20"/>
      <c r="H714" s="20"/>
    </row>
    <row r="715" spans="5:8" ht="15.75" customHeight="1">
      <c r="E715" s="20"/>
      <c r="H715" s="20"/>
    </row>
    <row r="716" spans="5:8" ht="15.75" customHeight="1">
      <c r="E716" s="20"/>
      <c r="H716" s="20"/>
    </row>
    <row r="717" spans="5:8" ht="15.75" customHeight="1">
      <c r="E717" s="20"/>
      <c r="H717" s="20"/>
    </row>
    <row r="718" spans="5:8" ht="15.75" customHeight="1">
      <c r="E718" s="20"/>
      <c r="H718" s="20"/>
    </row>
    <row r="719" spans="5:8" ht="15.75" customHeight="1">
      <c r="E719" s="20"/>
      <c r="H719" s="20"/>
    </row>
    <row r="720" spans="5:8" ht="15.75" customHeight="1">
      <c r="E720" s="20"/>
      <c r="H720" s="20"/>
    </row>
    <row r="721" spans="5:8" ht="15.75" customHeight="1">
      <c r="E721" s="20"/>
      <c r="H721" s="20"/>
    </row>
    <row r="722" spans="5:8" ht="15.75" customHeight="1">
      <c r="E722" s="20"/>
      <c r="H722" s="20"/>
    </row>
    <row r="723" spans="5:8" ht="15.75" customHeight="1">
      <c r="E723" s="20"/>
      <c r="H723" s="20"/>
    </row>
    <row r="724" spans="5:8" ht="15.75" customHeight="1">
      <c r="E724" s="20"/>
      <c r="H724" s="20"/>
    </row>
    <row r="725" spans="5:8" ht="15.75" customHeight="1">
      <c r="E725" s="20"/>
      <c r="H725" s="20"/>
    </row>
    <row r="726" spans="5:8" ht="15.75" customHeight="1">
      <c r="E726" s="20"/>
      <c r="H726" s="20"/>
    </row>
    <row r="727" spans="5:8" ht="15.75" customHeight="1">
      <c r="E727" s="20"/>
      <c r="H727" s="20"/>
    </row>
    <row r="728" spans="5:8" ht="15.75" customHeight="1">
      <c r="E728" s="20"/>
      <c r="H728" s="20"/>
    </row>
    <row r="729" spans="5:8" ht="15.75" customHeight="1">
      <c r="E729" s="20"/>
      <c r="H729" s="20"/>
    </row>
    <row r="730" spans="5:8" ht="15.75" customHeight="1">
      <c r="E730" s="20"/>
      <c r="H730" s="20"/>
    </row>
    <row r="731" spans="5:8" ht="15.75" customHeight="1">
      <c r="E731" s="20"/>
      <c r="H731" s="20"/>
    </row>
    <row r="732" spans="5:8" ht="15.75" customHeight="1">
      <c r="E732" s="20"/>
      <c r="H732" s="20"/>
    </row>
    <row r="733" spans="5:8" ht="15.75" customHeight="1">
      <c r="E733" s="20"/>
      <c r="H733" s="20"/>
    </row>
    <row r="734" spans="5:8" ht="15.75" customHeight="1">
      <c r="E734" s="20"/>
      <c r="H734" s="20"/>
    </row>
    <row r="735" spans="5:8" ht="15.75" customHeight="1">
      <c r="E735" s="20"/>
      <c r="H735" s="20"/>
    </row>
    <row r="736" spans="5:8" ht="15.75" customHeight="1">
      <c r="E736" s="20"/>
      <c r="H736" s="20"/>
    </row>
    <row r="737" spans="5:8" ht="15.75" customHeight="1">
      <c r="E737" s="20"/>
      <c r="H737" s="20"/>
    </row>
    <row r="738" spans="5:8" ht="15.75" customHeight="1">
      <c r="E738" s="20"/>
      <c r="H738" s="20"/>
    </row>
    <row r="739" spans="5:8" ht="15.75" customHeight="1">
      <c r="E739" s="20"/>
      <c r="H739" s="20"/>
    </row>
    <row r="740" spans="5:8" ht="15.75" customHeight="1">
      <c r="E740" s="20"/>
      <c r="H740" s="20"/>
    </row>
    <row r="741" spans="5:8" ht="15.75" customHeight="1">
      <c r="E741" s="20"/>
      <c r="H741" s="20"/>
    </row>
    <row r="742" spans="5:8" ht="15.75" customHeight="1">
      <c r="E742" s="20"/>
      <c r="H742" s="20"/>
    </row>
    <row r="743" spans="5:8" ht="15.75" customHeight="1">
      <c r="E743" s="20"/>
      <c r="H743" s="20"/>
    </row>
    <row r="744" spans="5:8" ht="15.75" customHeight="1">
      <c r="E744" s="20"/>
      <c r="H744" s="20"/>
    </row>
    <row r="745" spans="5:8" ht="15.75" customHeight="1">
      <c r="E745" s="20"/>
      <c r="H745" s="20"/>
    </row>
    <row r="746" spans="5:8" ht="15.75" customHeight="1">
      <c r="E746" s="20"/>
      <c r="H746" s="20"/>
    </row>
    <row r="747" spans="5:8" ht="15.75" customHeight="1">
      <c r="E747" s="20"/>
      <c r="H747" s="20"/>
    </row>
    <row r="748" spans="5:8" ht="15.75" customHeight="1">
      <c r="E748" s="20"/>
      <c r="H748" s="20"/>
    </row>
    <row r="749" spans="5:8" ht="15.75" customHeight="1">
      <c r="E749" s="20"/>
      <c r="H749" s="20"/>
    </row>
    <row r="750" spans="5:8" ht="15.75" customHeight="1">
      <c r="E750" s="20"/>
      <c r="H750" s="20"/>
    </row>
    <row r="751" spans="5:8" ht="15.75" customHeight="1">
      <c r="E751" s="20"/>
      <c r="H751" s="20"/>
    </row>
    <row r="752" spans="5:8" ht="15.75" customHeight="1">
      <c r="E752" s="20"/>
      <c r="H752" s="20"/>
    </row>
    <row r="753" spans="5:8" ht="15.75" customHeight="1">
      <c r="E753" s="20"/>
      <c r="H753" s="20"/>
    </row>
    <row r="754" spans="5:8" ht="15.75" customHeight="1">
      <c r="E754" s="20"/>
      <c r="H754" s="20"/>
    </row>
    <row r="755" spans="5:8" ht="15.75" customHeight="1">
      <c r="E755" s="20"/>
      <c r="H755" s="20"/>
    </row>
    <row r="756" spans="5:8" ht="15.75" customHeight="1">
      <c r="E756" s="20"/>
      <c r="H756" s="20"/>
    </row>
    <row r="757" spans="5:8" ht="15.75" customHeight="1">
      <c r="E757" s="20"/>
      <c r="H757" s="20"/>
    </row>
    <row r="758" spans="5:8" ht="15.75" customHeight="1">
      <c r="E758" s="20"/>
      <c r="H758" s="20"/>
    </row>
    <row r="759" spans="5:8" ht="15.75" customHeight="1">
      <c r="E759" s="20"/>
      <c r="H759" s="20"/>
    </row>
    <row r="760" spans="5:8" ht="15.75" customHeight="1">
      <c r="E760" s="20"/>
      <c r="H760" s="20"/>
    </row>
    <row r="761" spans="5:8" ht="15.75" customHeight="1">
      <c r="E761" s="20"/>
      <c r="H761" s="20"/>
    </row>
    <row r="762" spans="5:8" ht="15.75" customHeight="1">
      <c r="E762" s="20"/>
      <c r="H762" s="20"/>
    </row>
    <row r="763" spans="5:8" ht="15.75" customHeight="1">
      <c r="E763" s="20"/>
      <c r="H763" s="20"/>
    </row>
    <row r="764" spans="5:8" ht="15.75" customHeight="1">
      <c r="E764" s="20"/>
      <c r="H764" s="20"/>
    </row>
    <row r="765" spans="5:8" ht="15.75" customHeight="1">
      <c r="E765" s="20"/>
      <c r="H765" s="20"/>
    </row>
    <row r="766" spans="5:8" ht="15.75" customHeight="1">
      <c r="E766" s="20"/>
      <c r="H766" s="20"/>
    </row>
    <row r="767" spans="5:8" ht="15.75" customHeight="1">
      <c r="E767" s="20"/>
      <c r="H767" s="20"/>
    </row>
    <row r="768" spans="5:8" ht="15.75" customHeight="1">
      <c r="E768" s="20"/>
      <c r="H768" s="20"/>
    </row>
    <row r="769" spans="5:8" ht="15.75" customHeight="1">
      <c r="E769" s="20"/>
      <c r="H769" s="20"/>
    </row>
    <row r="770" spans="5:8" ht="15.75" customHeight="1">
      <c r="E770" s="20"/>
      <c r="H770" s="20"/>
    </row>
    <row r="771" spans="5:8" ht="15.75" customHeight="1">
      <c r="E771" s="20"/>
      <c r="H771" s="20"/>
    </row>
    <row r="772" spans="5:8" ht="15.75" customHeight="1">
      <c r="E772" s="20"/>
      <c r="H772" s="20"/>
    </row>
    <row r="773" spans="5:8" ht="15.75" customHeight="1">
      <c r="E773" s="20"/>
      <c r="H773" s="20"/>
    </row>
    <row r="774" spans="5:8" ht="15.75" customHeight="1">
      <c r="E774" s="20"/>
      <c r="H774" s="20"/>
    </row>
    <row r="775" spans="5:8" ht="15.75" customHeight="1">
      <c r="E775" s="20"/>
      <c r="H775" s="20"/>
    </row>
    <row r="776" spans="5:8" ht="15.75" customHeight="1">
      <c r="E776" s="20"/>
      <c r="H776" s="20"/>
    </row>
    <row r="777" spans="5:8" ht="15.75" customHeight="1">
      <c r="E777" s="20"/>
      <c r="H777" s="20"/>
    </row>
    <row r="778" spans="5:8" ht="15.75" customHeight="1">
      <c r="E778" s="20"/>
      <c r="H778" s="20"/>
    </row>
    <row r="779" spans="5:8" ht="15.75" customHeight="1">
      <c r="E779" s="20"/>
      <c r="H779" s="20"/>
    </row>
    <row r="780" spans="5:8" ht="15.75" customHeight="1">
      <c r="E780" s="20"/>
      <c r="H780" s="20"/>
    </row>
    <row r="781" spans="5:8" ht="15.75" customHeight="1">
      <c r="E781" s="20"/>
      <c r="H781" s="20"/>
    </row>
    <row r="782" spans="5:8" ht="15.75" customHeight="1">
      <c r="E782" s="20"/>
      <c r="H782" s="20"/>
    </row>
    <row r="783" spans="5:8" ht="15.75" customHeight="1">
      <c r="E783" s="20"/>
      <c r="H783" s="20"/>
    </row>
    <row r="784" spans="5:8" ht="15.75" customHeight="1">
      <c r="E784" s="20"/>
      <c r="H784" s="20"/>
    </row>
    <row r="785" spans="5:8" ht="15.75" customHeight="1">
      <c r="E785" s="20"/>
      <c r="H785" s="20"/>
    </row>
    <row r="786" spans="5:8" ht="15.75" customHeight="1">
      <c r="E786" s="20"/>
      <c r="H786" s="20"/>
    </row>
    <row r="787" spans="5:8" ht="15.75" customHeight="1">
      <c r="E787" s="20"/>
      <c r="H787" s="20"/>
    </row>
    <row r="788" spans="5:8" ht="15.75" customHeight="1">
      <c r="E788" s="20"/>
      <c r="H788" s="20"/>
    </row>
    <row r="789" spans="5:8" ht="15.75" customHeight="1">
      <c r="E789" s="20"/>
      <c r="H789" s="20"/>
    </row>
    <row r="790" spans="5:8" ht="15.75" customHeight="1">
      <c r="E790" s="20"/>
      <c r="H790" s="20"/>
    </row>
    <row r="791" spans="5:8" ht="15.75" customHeight="1">
      <c r="E791" s="20"/>
      <c r="H791" s="20"/>
    </row>
    <row r="792" spans="5:8" ht="15.75" customHeight="1">
      <c r="E792" s="20"/>
      <c r="H792" s="20"/>
    </row>
    <row r="793" spans="5:8" ht="15.75" customHeight="1">
      <c r="E793" s="20"/>
      <c r="H793" s="20"/>
    </row>
    <row r="794" spans="5:8" ht="15.75" customHeight="1">
      <c r="E794" s="20"/>
      <c r="H794" s="20"/>
    </row>
    <row r="795" spans="5:8" ht="15.75" customHeight="1">
      <c r="E795" s="20"/>
      <c r="H795" s="20"/>
    </row>
    <row r="796" spans="5:8" ht="15.75" customHeight="1">
      <c r="E796" s="20"/>
      <c r="H796" s="20"/>
    </row>
    <row r="797" spans="5:8" ht="15.75" customHeight="1">
      <c r="E797" s="20"/>
      <c r="H797" s="20"/>
    </row>
    <row r="798" spans="5:8" ht="15.75" customHeight="1">
      <c r="E798" s="20"/>
      <c r="H798" s="20"/>
    </row>
    <row r="799" spans="5:8" ht="15.75" customHeight="1">
      <c r="E799" s="20"/>
      <c r="H799" s="20"/>
    </row>
    <row r="800" spans="5:8" ht="15.75" customHeight="1">
      <c r="E800" s="20"/>
      <c r="H800" s="20"/>
    </row>
    <row r="801" spans="5:8" ht="15.75" customHeight="1">
      <c r="E801" s="20"/>
      <c r="H801" s="20"/>
    </row>
    <row r="802" spans="5:8" ht="15.75" customHeight="1">
      <c r="E802" s="20"/>
      <c r="H802" s="20"/>
    </row>
    <row r="803" spans="5:8" ht="15.75" customHeight="1">
      <c r="E803" s="20"/>
      <c r="H803" s="20"/>
    </row>
    <row r="804" spans="5:8" ht="15.75" customHeight="1">
      <c r="E804" s="20"/>
      <c r="H804" s="20"/>
    </row>
    <row r="805" spans="5:8" ht="15.75" customHeight="1">
      <c r="E805" s="20"/>
      <c r="H805" s="20"/>
    </row>
    <row r="806" spans="5:8" ht="15.75" customHeight="1">
      <c r="E806" s="20"/>
      <c r="H806" s="20"/>
    </row>
    <row r="807" spans="5:8" ht="15.75" customHeight="1">
      <c r="E807" s="20"/>
      <c r="H807" s="20"/>
    </row>
    <row r="808" spans="5:8" ht="15.75" customHeight="1">
      <c r="E808" s="20"/>
      <c r="H808" s="20"/>
    </row>
    <row r="809" spans="5:8" ht="15.75" customHeight="1">
      <c r="E809" s="20"/>
      <c r="H809" s="20"/>
    </row>
    <row r="810" spans="5:8" ht="15.75" customHeight="1">
      <c r="E810" s="20"/>
      <c r="H810" s="20"/>
    </row>
    <row r="811" spans="5:8" ht="15.75" customHeight="1">
      <c r="E811" s="20"/>
      <c r="H811" s="20"/>
    </row>
    <row r="812" spans="5:8" ht="15.75" customHeight="1">
      <c r="E812" s="20"/>
      <c r="H812" s="20"/>
    </row>
    <row r="813" spans="5:8" ht="15.75" customHeight="1">
      <c r="E813" s="20"/>
      <c r="H813" s="20"/>
    </row>
    <row r="814" spans="5:8" ht="15.75" customHeight="1">
      <c r="E814" s="20"/>
      <c r="H814" s="20"/>
    </row>
    <row r="815" spans="5:8" ht="15.75" customHeight="1">
      <c r="E815" s="20"/>
      <c r="H815" s="20"/>
    </row>
    <row r="816" spans="5:8" ht="15.75" customHeight="1">
      <c r="E816" s="20"/>
      <c r="H816" s="20"/>
    </row>
    <row r="817" spans="5:8" ht="15.75" customHeight="1">
      <c r="E817" s="20"/>
      <c r="H817" s="20"/>
    </row>
    <row r="818" spans="5:8" ht="15.75" customHeight="1">
      <c r="E818" s="20"/>
      <c r="H818" s="20"/>
    </row>
    <row r="819" spans="5:8" ht="15.75" customHeight="1">
      <c r="E819" s="20"/>
      <c r="H819" s="20"/>
    </row>
    <row r="820" spans="5:8" ht="15.75" customHeight="1">
      <c r="E820" s="20"/>
      <c r="H820" s="20"/>
    </row>
    <row r="821" spans="5:8" ht="15.75" customHeight="1">
      <c r="E821" s="20"/>
      <c r="H821" s="20"/>
    </row>
    <row r="822" spans="5:8" ht="15.75" customHeight="1">
      <c r="E822" s="20"/>
      <c r="H822" s="20"/>
    </row>
    <row r="823" spans="5:8" ht="15.75" customHeight="1">
      <c r="E823" s="20"/>
      <c r="H823" s="20"/>
    </row>
    <row r="824" spans="5:8" ht="15.75" customHeight="1">
      <c r="E824" s="20"/>
      <c r="H824" s="20"/>
    </row>
    <row r="825" spans="5:8" ht="15.75" customHeight="1">
      <c r="E825" s="20"/>
      <c r="H825" s="20"/>
    </row>
    <row r="826" spans="5:8" ht="15.75" customHeight="1">
      <c r="E826" s="20"/>
      <c r="H826" s="20"/>
    </row>
    <row r="827" spans="5:8" ht="15.75" customHeight="1">
      <c r="E827" s="20"/>
      <c r="H827" s="20"/>
    </row>
    <row r="828" spans="5:8" ht="15.75" customHeight="1">
      <c r="E828" s="20"/>
      <c r="H828" s="20"/>
    </row>
    <row r="829" spans="5:8" ht="15.75" customHeight="1">
      <c r="E829" s="20"/>
      <c r="H829" s="20"/>
    </row>
    <row r="830" spans="5:8" ht="15.75" customHeight="1">
      <c r="E830" s="20"/>
      <c r="H830" s="20"/>
    </row>
    <row r="831" spans="5:8" ht="15.75" customHeight="1">
      <c r="E831" s="20"/>
      <c r="H831" s="20"/>
    </row>
    <row r="832" spans="5:8" ht="15.75" customHeight="1">
      <c r="E832" s="20"/>
      <c r="H832" s="20"/>
    </row>
    <row r="833" spans="5:8" ht="15.75" customHeight="1">
      <c r="E833" s="20"/>
      <c r="H833" s="20"/>
    </row>
    <row r="834" spans="5:8" ht="15.75" customHeight="1">
      <c r="E834" s="20"/>
      <c r="H834" s="20"/>
    </row>
    <row r="835" spans="5:8" ht="15.75" customHeight="1">
      <c r="E835" s="20"/>
      <c r="H835" s="20"/>
    </row>
    <row r="836" spans="5:8" ht="15.75" customHeight="1">
      <c r="E836" s="20"/>
      <c r="H836" s="20"/>
    </row>
    <row r="837" spans="5:8" ht="15.75" customHeight="1">
      <c r="E837" s="20"/>
      <c r="H837" s="20"/>
    </row>
    <row r="838" spans="5:8" ht="15.75" customHeight="1">
      <c r="E838" s="20"/>
      <c r="H838" s="20"/>
    </row>
    <row r="839" spans="5:8" ht="15.75" customHeight="1">
      <c r="E839" s="20"/>
      <c r="H839" s="20"/>
    </row>
    <row r="840" spans="5:8" ht="15.75" customHeight="1">
      <c r="E840" s="20"/>
      <c r="H840" s="20"/>
    </row>
    <row r="841" spans="5:8" ht="15.75" customHeight="1">
      <c r="E841" s="20"/>
      <c r="H841" s="20"/>
    </row>
    <row r="842" spans="5:8" ht="15.75" customHeight="1">
      <c r="E842" s="20"/>
      <c r="H842" s="20"/>
    </row>
    <row r="843" spans="5:8" ht="15.75" customHeight="1">
      <c r="E843" s="20"/>
      <c r="H843" s="20"/>
    </row>
    <row r="844" spans="5:8" ht="15.75" customHeight="1">
      <c r="E844" s="20"/>
      <c r="H844" s="20"/>
    </row>
    <row r="845" spans="5:8" ht="15.75" customHeight="1">
      <c r="E845" s="20"/>
      <c r="H845" s="20"/>
    </row>
    <row r="846" spans="5:8" ht="15.75" customHeight="1">
      <c r="E846" s="20"/>
      <c r="H846" s="20"/>
    </row>
    <row r="847" spans="5:8" ht="15.75" customHeight="1">
      <c r="E847" s="20"/>
      <c r="H847" s="20"/>
    </row>
    <row r="848" spans="5:8" ht="15.75" customHeight="1">
      <c r="E848" s="20"/>
      <c r="H848" s="20"/>
    </row>
    <row r="849" spans="5:8" ht="15.75" customHeight="1">
      <c r="E849" s="20"/>
      <c r="H849" s="20"/>
    </row>
    <row r="850" spans="5:8" ht="15.75" customHeight="1">
      <c r="E850" s="20"/>
      <c r="H850" s="20"/>
    </row>
    <row r="851" spans="5:8" ht="15.75" customHeight="1">
      <c r="E851" s="20"/>
      <c r="H851" s="20"/>
    </row>
    <row r="852" spans="5:8" ht="15.75" customHeight="1">
      <c r="E852" s="20"/>
      <c r="H852" s="20"/>
    </row>
    <row r="853" spans="5:8" ht="15.75" customHeight="1">
      <c r="E853" s="20"/>
      <c r="H853" s="20"/>
    </row>
    <row r="854" spans="5:8" ht="15.75" customHeight="1">
      <c r="E854" s="20"/>
      <c r="H854" s="20"/>
    </row>
    <row r="855" spans="5:8" ht="15.75" customHeight="1">
      <c r="E855" s="20"/>
      <c r="H855" s="20"/>
    </row>
    <row r="856" spans="5:8" ht="15.75" customHeight="1">
      <c r="E856" s="20"/>
      <c r="H856" s="20"/>
    </row>
    <row r="857" spans="5:8" ht="15.75" customHeight="1">
      <c r="E857" s="20"/>
      <c r="H857" s="20"/>
    </row>
    <row r="858" spans="5:8" ht="15.75" customHeight="1">
      <c r="E858" s="20"/>
      <c r="H858" s="20"/>
    </row>
    <row r="859" spans="5:8" ht="15.75" customHeight="1">
      <c r="E859" s="20"/>
      <c r="H859" s="20"/>
    </row>
    <row r="860" spans="5:8" ht="15.75" customHeight="1">
      <c r="E860" s="20"/>
      <c r="H860" s="20"/>
    </row>
    <row r="861" spans="5:8" ht="15.75" customHeight="1">
      <c r="E861" s="20"/>
      <c r="H861" s="20"/>
    </row>
    <row r="862" spans="5:8" ht="15.75" customHeight="1">
      <c r="E862" s="20"/>
      <c r="H862" s="20"/>
    </row>
    <row r="863" spans="5:8" ht="15.75" customHeight="1">
      <c r="E863" s="20"/>
      <c r="H863" s="20"/>
    </row>
    <row r="864" spans="5:8" ht="15.75" customHeight="1">
      <c r="E864" s="20"/>
      <c r="H864" s="20"/>
    </row>
    <row r="865" spans="5:8" ht="15.75" customHeight="1">
      <c r="E865" s="20"/>
      <c r="H865" s="20"/>
    </row>
    <row r="866" spans="5:8" ht="15.75" customHeight="1">
      <c r="E866" s="20"/>
      <c r="H866" s="20"/>
    </row>
    <row r="867" spans="5:8" ht="15.75" customHeight="1">
      <c r="E867" s="20"/>
      <c r="H867" s="20"/>
    </row>
    <row r="868" spans="5:8" ht="15.75" customHeight="1">
      <c r="E868" s="20"/>
      <c r="H868" s="20"/>
    </row>
    <row r="869" spans="5:8" ht="15.75" customHeight="1">
      <c r="E869" s="20"/>
      <c r="H869" s="20"/>
    </row>
    <row r="870" spans="5:8" ht="15.75" customHeight="1">
      <c r="E870" s="20"/>
      <c r="H870" s="20"/>
    </row>
    <row r="871" spans="5:8" ht="15.75" customHeight="1">
      <c r="E871" s="20"/>
      <c r="H871" s="20"/>
    </row>
    <row r="872" spans="5:8" ht="15.75" customHeight="1">
      <c r="E872" s="20"/>
      <c r="H872" s="20"/>
    </row>
    <row r="873" spans="5:8" ht="15.75" customHeight="1">
      <c r="E873" s="20"/>
      <c r="H873" s="20"/>
    </row>
    <row r="874" spans="5:8" ht="15.75" customHeight="1">
      <c r="E874" s="20"/>
      <c r="H874" s="20"/>
    </row>
    <row r="875" spans="5:8" ht="15.75" customHeight="1">
      <c r="E875" s="20"/>
      <c r="H875" s="20"/>
    </row>
    <row r="876" spans="5:8" ht="15.75" customHeight="1">
      <c r="E876" s="20"/>
      <c r="H876" s="20"/>
    </row>
    <row r="877" spans="5:8" ht="15.75" customHeight="1">
      <c r="E877" s="20"/>
      <c r="H877" s="20"/>
    </row>
    <row r="878" spans="5:8" ht="15.75" customHeight="1">
      <c r="E878" s="20"/>
      <c r="H878" s="20"/>
    </row>
    <row r="879" spans="5:8" ht="15.75" customHeight="1">
      <c r="E879" s="20"/>
      <c r="H879" s="20"/>
    </row>
    <row r="880" spans="5:8" ht="15.75" customHeight="1">
      <c r="E880" s="20"/>
      <c r="H880" s="20"/>
    </row>
    <row r="881" spans="5:8" ht="15.75" customHeight="1">
      <c r="E881" s="20"/>
      <c r="H881" s="20"/>
    </row>
    <row r="882" spans="5:8" ht="15.75" customHeight="1">
      <c r="E882" s="20"/>
      <c r="H882" s="20"/>
    </row>
    <row r="883" spans="5:8" ht="15.75" customHeight="1">
      <c r="E883" s="20"/>
      <c r="H883" s="20"/>
    </row>
    <row r="884" spans="5:8" ht="15.75" customHeight="1">
      <c r="E884" s="20"/>
      <c r="H884" s="20"/>
    </row>
    <row r="885" spans="5:8" ht="15.75" customHeight="1">
      <c r="E885" s="20"/>
      <c r="H885" s="20"/>
    </row>
    <row r="886" spans="5:8" ht="15.75" customHeight="1">
      <c r="E886" s="20"/>
      <c r="H886" s="20"/>
    </row>
    <row r="887" spans="5:8" ht="15.75" customHeight="1">
      <c r="E887" s="20"/>
      <c r="H887" s="20"/>
    </row>
    <row r="888" spans="5:8" ht="15.75" customHeight="1">
      <c r="E888" s="20"/>
      <c r="H888" s="20"/>
    </row>
    <row r="889" spans="5:8" ht="15.75" customHeight="1">
      <c r="E889" s="20"/>
      <c r="H889" s="20"/>
    </row>
    <row r="890" spans="5:8" ht="15.75" customHeight="1">
      <c r="E890" s="20"/>
      <c r="H890" s="20"/>
    </row>
    <row r="891" spans="5:8" ht="15.75" customHeight="1">
      <c r="E891" s="20"/>
      <c r="H891" s="20"/>
    </row>
    <row r="892" spans="5:8" ht="15.75" customHeight="1">
      <c r="E892" s="20"/>
      <c r="H892" s="20"/>
    </row>
    <row r="893" spans="5:8" ht="15.75" customHeight="1">
      <c r="E893" s="20"/>
      <c r="H893" s="20"/>
    </row>
    <row r="894" spans="5:8" ht="15.75" customHeight="1">
      <c r="E894" s="20"/>
      <c r="H894" s="20"/>
    </row>
    <row r="895" spans="5:8" ht="15.75" customHeight="1">
      <c r="E895" s="20"/>
      <c r="H895" s="20"/>
    </row>
    <row r="896" spans="5:8" ht="15.75" customHeight="1">
      <c r="E896" s="20"/>
      <c r="H896" s="20"/>
    </row>
    <row r="897" spans="5:8" ht="15.75" customHeight="1">
      <c r="E897" s="20"/>
      <c r="H897" s="20"/>
    </row>
    <row r="898" spans="5:8" ht="15.75" customHeight="1">
      <c r="E898" s="20"/>
      <c r="H898" s="20"/>
    </row>
    <row r="899" spans="5:8" ht="15.75" customHeight="1">
      <c r="E899" s="20"/>
      <c r="H899" s="20"/>
    </row>
    <row r="900" spans="5:8" ht="15.75" customHeight="1">
      <c r="E900" s="20"/>
      <c r="H900" s="20"/>
    </row>
    <row r="901" spans="5:8" ht="15.75" customHeight="1">
      <c r="E901" s="20"/>
      <c r="H901" s="20"/>
    </row>
    <row r="902" spans="5:8" ht="15.75" customHeight="1">
      <c r="E902" s="20"/>
      <c r="H902" s="20"/>
    </row>
    <row r="903" spans="5:8" ht="15.75" customHeight="1">
      <c r="E903" s="20"/>
      <c r="H903" s="20"/>
    </row>
    <row r="904" spans="5:8" ht="15.75" customHeight="1">
      <c r="E904" s="20"/>
      <c r="H904" s="20"/>
    </row>
    <row r="905" spans="5:8" ht="15.75" customHeight="1">
      <c r="E905" s="20"/>
      <c r="H905" s="20"/>
    </row>
    <row r="906" spans="5:8" ht="15.75" customHeight="1">
      <c r="E906" s="20"/>
      <c r="H906" s="20"/>
    </row>
    <row r="907" spans="5:8" ht="15.75" customHeight="1">
      <c r="E907" s="20"/>
      <c r="H907" s="20"/>
    </row>
    <row r="908" spans="5:8" ht="15.75" customHeight="1">
      <c r="E908" s="20"/>
      <c r="H908" s="20"/>
    </row>
    <row r="909" spans="5:8" ht="15.75" customHeight="1">
      <c r="E909" s="20"/>
      <c r="H909" s="20"/>
    </row>
    <row r="910" spans="5:8" ht="15.75" customHeight="1">
      <c r="E910" s="20"/>
      <c r="H910" s="20"/>
    </row>
    <row r="911" spans="5:8" ht="15.75" customHeight="1">
      <c r="E911" s="20"/>
      <c r="H911" s="20"/>
    </row>
    <row r="912" spans="5:8" ht="15.75" customHeight="1">
      <c r="E912" s="20"/>
      <c r="H912" s="20"/>
    </row>
    <row r="913" spans="5:8" ht="15.75" customHeight="1">
      <c r="E913" s="20"/>
      <c r="H913" s="20"/>
    </row>
    <row r="914" spans="5:8" ht="15.75" customHeight="1">
      <c r="E914" s="20"/>
      <c r="H914" s="20"/>
    </row>
    <row r="915" spans="5:8" ht="15.75" customHeight="1">
      <c r="E915" s="20"/>
      <c r="H915" s="20"/>
    </row>
    <row r="916" spans="5:8" ht="15.75" customHeight="1">
      <c r="E916" s="20"/>
      <c r="H916" s="20"/>
    </row>
    <row r="917" spans="5:8" ht="15.75" customHeight="1">
      <c r="E917" s="20"/>
      <c r="H917" s="20"/>
    </row>
    <row r="918" spans="5:8" ht="15.75" customHeight="1">
      <c r="E918" s="20"/>
      <c r="H918" s="20"/>
    </row>
    <row r="919" spans="5:8" ht="15.75" customHeight="1">
      <c r="E919" s="20"/>
      <c r="H919" s="20"/>
    </row>
    <row r="920" spans="5:8" ht="15.75" customHeight="1">
      <c r="E920" s="20"/>
      <c r="H920" s="20"/>
    </row>
    <row r="921" spans="5:8" ht="15.75" customHeight="1">
      <c r="E921" s="20"/>
      <c r="H921" s="20"/>
    </row>
    <row r="922" spans="5:8" ht="15.75" customHeight="1">
      <c r="E922" s="20"/>
      <c r="H922" s="20"/>
    </row>
    <row r="923" spans="5:8" ht="15.75" customHeight="1">
      <c r="E923" s="20"/>
      <c r="H923" s="20"/>
    </row>
    <row r="924" spans="5:8" ht="15.75" customHeight="1">
      <c r="E924" s="20"/>
      <c r="H924" s="20"/>
    </row>
    <row r="925" spans="5:8" ht="15.75" customHeight="1">
      <c r="E925" s="20"/>
      <c r="H925" s="20"/>
    </row>
    <row r="926" spans="5:8" ht="15.75" customHeight="1">
      <c r="E926" s="20"/>
      <c r="H926" s="20"/>
    </row>
    <row r="927" spans="5:8" ht="15.75" customHeight="1">
      <c r="E927" s="20"/>
      <c r="H927" s="20"/>
    </row>
    <row r="928" spans="5:8" ht="15.75" customHeight="1">
      <c r="E928" s="20"/>
      <c r="H928" s="20"/>
    </row>
    <row r="929" spans="5:8" ht="15.75" customHeight="1">
      <c r="E929" s="20"/>
      <c r="H929" s="20"/>
    </row>
    <row r="930" spans="5:8" ht="15.75" customHeight="1">
      <c r="E930" s="20"/>
      <c r="H930" s="20"/>
    </row>
    <row r="931" spans="5:8" ht="15.75" customHeight="1">
      <c r="E931" s="20"/>
      <c r="H931" s="20"/>
    </row>
    <row r="932" spans="5:8" ht="15.75" customHeight="1">
      <c r="E932" s="20"/>
      <c r="H932" s="20"/>
    </row>
    <row r="933" spans="5:8" ht="15.75" customHeight="1">
      <c r="E933" s="20"/>
      <c r="H933" s="20"/>
    </row>
    <row r="934" spans="5:8" ht="15.75" customHeight="1">
      <c r="E934" s="20"/>
      <c r="H934" s="20"/>
    </row>
    <row r="935" spans="5:8" ht="15.75" customHeight="1">
      <c r="E935" s="20"/>
      <c r="H935" s="20"/>
    </row>
    <row r="936" spans="5:8" ht="15.75" customHeight="1">
      <c r="E936" s="20"/>
      <c r="H936" s="20"/>
    </row>
    <row r="937" spans="5:8" ht="15.75" customHeight="1">
      <c r="E937" s="20"/>
      <c r="H937" s="20"/>
    </row>
    <row r="938" spans="5:8" ht="15.75" customHeight="1">
      <c r="E938" s="20"/>
      <c r="H938" s="20"/>
    </row>
    <row r="939" spans="5:8" ht="15.75" customHeight="1">
      <c r="E939" s="20"/>
      <c r="H939" s="20"/>
    </row>
    <row r="940" spans="5:8" ht="15.75" customHeight="1">
      <c r="E940" s="20"/>
      <c r="H940" s="20"/>
    </row>
    <row r="941" spans="5:8" ht="15.75" customHeight="1">
      <c r="E941" s="20"/>
      <c r="H941" s="20"/>
    </row>
    <row r="942" spans="5:8" ht="15.75" customHeight="1">
      <c r="E942" s="20"/>
      <c r="H942" s="20"/>
    </row>
    <row r="943" spans="5:8" ht="15.75" customHeight="1">
      <c r="E943" s="20"/>
      <c r="H943" s="20"/>
    </row>
    <row r="944" spans="5:8" ht="15.75" customHeight="1">
      <c r="E944" s="20"/>
      <c r="H944" s="20"/>
    </row>
    <row r="945" spans="5:8" ht="15.75" customHeight="1">
      <c r="E945" s="20"/>
      <c r="H945" s="20"/>
    </row>
    <row r="946" spans="5:8" ht="15.75" customHeight="1">
      <c r="E946" s="20"/>
      <c r="H946" s="20"/>
    </row>
    <row r="947" spans="5:8" ht="15.75" customHeight="1">
      <c r="E947" s="20"/>
      <c r="H947" s="20"/>
    </row>
    <row r="948" spans="5:8" ht="15.75" customHeight="1">
      <c r="E948" s="20"/>
      <c r="H948" s="20"/>
    </row>
    <row r="949" spans="5:8" ht="15.75" customHeight="1">
      <c r="E949" s="20"/>
      <c r="H949" s="20"/>
    </row>
    <row r="950" spans="5:8" ht="15.75" customHeight="1">
      <c r="E950" s="20"/>
      <c r="H950" s="20"/>
    </row>
    <row r="951" spans="5:8" ht="15.75" customHeight="1">
      <c r="E951" s="20"/>
      <c r="H951" s="20"/>
    </row>
    <row r="952" spans="5:8" ht="15.75" customHeight="1">
      <c r="E952" s="20"/>
      <c r="H952" s="20"/>
    </row>
    <row r="953" spans="5:8" ht="15.75" customHeight="1">
      <c r="E953" s="20"/>
      <c r="H953" s="20"/>
    </row>
    <row r="954" spans="5:8" ht="15.75" customHeight="1">
      <c r="E954" s="20"/>
      <c r="H954" s="20"/>
    </row>
    <row r="955" spans="5:8" ht="15.75" customHeight="1">
      <c r="E955" s="20"/>
      <c r="H955" s="20"/>
    </row>
    <row r="956" spans="5:8" ht="15.75" customHeight="1">
      <c r="E956" s="20"/>
      <c r="H956" s="20"/>
    </row>
    <row r="957" spans="5:8" ht="15.75" customHeight="1">
      <c r="E957" s="20"/>
      <c r="H957" s="20"/>
    </row>
    <row r="958" spans="5:8" ht="15.75" customHeight="1">
      <c r="E958" s="20"/>
      <c r="H958" s="20"/>
    </row>
    <row r="959" spans="5:8" ht="15.75" customHeight="1">
      <c r="E959" s="20"/>
      <c r="H959" s="20"/>
    </row>
    <row r="960" spans="5:8" ht="15.75" customHeight="1">
      <c r="E960" s="20"/>
      <c r="H960" s="20"/>
    </row>
    <row r="961" spans="5:8" ht="15.75" customHeight="1">
      <c r="E961" s="20"/>
      <c r="H961" s="20"/>
    </row>
    <row r="962" spans="5:8" ht="15.75" customHeight="1">
      <c r="E962" s="20"/>
      <c r="H962" s="20"/>
    </row>
    <row r="963" spans="5:8" ht="15.75" customHeight="1">
      <c r="E963" s="20"/>
      <c r="H963" s="20"/>
    </row>
    <row r="964" spans="5:8" ht="15.75" customHeight="1">
      <c r="E964" s="20"/>
      <c r="H964" s="20"/>
    </row>
    <row r="965" spans="5:8" ht="15.75" customHeight="1">
      <c r="E965" s="20"/>
      <c r="H965" s="20"/>
    </row>
    <row r="966" spans="5:8" ht="15.75" customHeight="1">
      <c r="E966" s="20"/>
      <c r="H966" s="20"/>
    </row>
    <row r="967" spans="5:8" ht="15.75" customHeight="1">
      <c r="E967" s="20"/>
      <c r="H967" s="20"/>
    </row>
    <row r="968" spans="5:8" ht="15.75" customHeight="1">
      <c r="E968" s="20"/>
      <c r="H968" s="20"/>
    </row>
    <row r="969" spans="5:8" ht="15.75" customHeight="1">
      <c r="E969" s="20"/>
      <c r="H969" s="20"/>
    </row>
    <row r="970" spans="5:8" ht="15.75" customHeight="1">
      <c r="E970" s="20"/>
      <c r="H970" s="20"/>
    </row>
    <row r="971" spans="5:8" ht="15.75" customHeight="1">
      <c r="E971" s="20"/>
      <c r="H971" s="20"/>
    </row>
    <row r="972" spans="5:8" ht="15.75" customHeight="1">
      <c r="E972" s="20"/>
      <c r="H972" s="20"/>
    </row>
    <row r="973" spans="5:8" ht="15.75" customHeight="1">
      <c r="E973" s="20"/>
      <c r="H973" s="20"/>
    </row>
    <row r="974" spans="5:8" ht="15.75" customHeight="1">
      <c r="E974" s="20"/>
      <c r="H974" s="20"/>
    </row>
    <row r="975" spans="5:8" ht="15.75" customHeight="1">
      <c r="E975" s="20"/>
      <c r="H975" s="20"/>
    </row>
    <row r="976" spans="5:8" ht="15.75" customHeight="1">
      <c r="E976" s="20"/>
      <c r="H976" s="20"/>
    </row>
    <row r="977" spans="5:8" ht="15.75" customHeight="1">
      <c r="E977" s="20"/>
      <c r="H977" s="20"/>
    </row>
    <row r="978" spans="5:8" ht="15.75" customHeight="1">
      <c r="E978" s="20"/>
      <c r="H978" s="20"/>
    </row>
    <row r="979" spans="5:8" ht="15.75" customHeight="1">
      <c r="E979" s="20"/>
      <c r="H979" s="20"/>
    </row>
    <row r="980" spans="5:8" ht="15.75" customHeight="1">
      <c r="E980" s="20"/>
      <c r="H980" s="20"/>
    </row>
    <row r="981" spans="5:8" ht="15.75" customHeight="1">
      <c r="E981" s="20"/>
      <c r="H981" s="20"/>
    </row>
    <row r="982" spans="5:8" ht="15.75" customHeight="1">
      <c r="E982" s="20"/>
      <c r="H982" s="20"/>
    </row>
    <row r="983" spans="5:8" ht="15.75" customHeight="1">
      <c r="E983" s="20"/>
      <c r="H983" s="20"/>
    </row>
    <row r="984" spans="5:8" ht="15.75" customHeight="1">
      <c r="E984" s="20"/>
      <c r="H984" s="20"/>
    </row>
    <row r="985" spans="5:8" ht="15.75" customHeight="1">
      <c r="E985" s="20"/>
      <c r="H985" s="20"/>
    </row>
    <row r="986" spans="5:8" ht="15.75" customHeight="1">
      <c r="E986" s="20"/>
      <c r="H986" s="20"/>
    </row>
    <row r="987" spans="5:8" ht="15.75" customHeight="1">
      <c r="E987" s="20"/>
      <c r="H987" s="20"/>
    </row>
    <row r="988" spans="5:8" ht="15.75" customHeight="1">
      <c r="E988" s="20"/>
      <c r="H988" s="20"/>
    </row>
    <row r="989" spans="5:8" ht="15.75" customHeight="1">
      <c r="E989" s="20"/>
      <c r="H989" s="20"/>
    </row>
    <row r="990" spans="5:8" ht="15.75" customHeight="1">
      <c r="E990" s="20"/>
      <c r="H990" s="20"/>
    </row>
    <row r="991" spans="5:8" ht="15.75" customHeight="1">
      <c r="E991" s="20"/>
      <c r="H991" s="20"/>
    </row>
    <row r="992" spans="5:8" ht="15.75" customHeight="1">
      <c r="E992" s="20"/>
      <c r="H992" s="20"/>
    </row>
    <row r="993" spans="5:8" ht="15.75" customHeight="1">
      <c r="E993" s="20"/>
      <c r="H993" s="20"/>
    </row>
    <row r="994" spans="5:8" ht="15.75" customHeight="1">
      <c r="E994" s="20"/>
      <c r="H994" s="20"/>
    </row>
    <row r="995" spans="5:8" ht="15.75" customHeight="1">
      <c r="E995" s="20"/>
      <c r="H995" s="20"/>
    </row>
    <row r="996" spans="5:8" ht="15.75" customHeight="1">
      <c r="E996" s="20"/>
      <c r="H996" s="20"/>
    </row>
    <row r="997" spans="5:8" ht="15.75" customHeight="1">
      <c r="E997" s="20"/>
      <c r="H997" s="20"/>
    </row>
    <row r="998" spans="5:8" ht="15.75" customHeight="1">
      <c r="E998" s="20"/>
      <c r="H998" s="20"/>
    </row>
    <row r="999" spans="5:8" ht="15.75" customHeight="1">
      <c r="E999" s="20"/>
      <c r="H999" s="20"/>
    </row>
    <row r="1000" spans="5:8" ht="15.75" customHeight="1">
      <c r="E1000" s="20"/>
      <c r="H1000" s="20"/>
    </row>
  </sheetData>
  <autoFilter ref="A8:N8"/>
  <mergeCells count="13">
    <mergeCell ref="A9:N9"/>
    <mergeCell ref="A1:T1"/>
    <mergeCell ref="A2:T2"/>
    <mergeCell ref="A3:T3"/>
    <mergeCell ref="A4:E4"/>
    <mergeCell ref="F4:J4"/>
    <mergeCell ref="K4:O4"/>
    <mergeCell ref="P4:T4"/>
    <mergeCell ref="A5:E5"/>
    <mergeCell ref="F5:J5"/>
    <mergeCell ref="K5:O5"/>
    <mergeCell ref="P5:T5"/>
    <mergeCell ref="A7:T7"/>
  </mergeCells>
  <dataValidations count="2">
    <dataValidation type="list" allowBlank="1" showInputMessage="1" showErrorMessage="1" prompt="Invalid - Select category from dropdown" sqref="E11:E1000">
      <formula1>"Material,Labor,Contractor,Equipment,Utilities,Admin,Marketing,Legal,Professional,Salary,Other"</formula1>
    </dataValidation>
    <dataValidation type="list" allowBlank="1" showInputMessage="1" showErrorMessage="1" prompt="Invalid - Select payment source" sqref="H11:H1000">
      <formula1>"Meezan Bank,HBL,Cash,Other Bank"</formula1>
    </dataValidation>
  </dataValidations>
  <pageMargins left="0.5" right="0.5" top="0.75" bottom="0.75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000"/>
  <sheetViews>
    <sheetView showGridLines="0" workbookViewId="0">
      <selection activeCell="H5" sqref="H5"/>
    </sheetView>
  </sheetViews>
  <sheetFormatPr defaultColWidth="14.42578125" defaultRowHeight="15" customHeight="1"/>
  <cols>
    <col min="1" max="1" width="12" customWidth="1"/>
    <col min="2" max="2" width="28" customWidth="1"/>
    <col min="3" max="3" width="18" customWidth="1"/>
    <col min="4" max="4" width="14" customWidth="1"/>
    <col min="5" max="5" width="12" customWidth="1"/>
    <col min="6" max="6" width="16" customWidth="1"/>
    <col min="7" max="7" width="14" customWidth="1"/>
    <col min="8" max="8" width="40" customWidth="1"/>
    <col min="9" max="26" width="8.7109375" customWidth="1"/>
  </cols>
  <sheetData>
    <row r="1" spans="1:12" ht="37.5" customHeight="1">
      <c r="A1" s="132" t="s">
        <v>181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5"/>
    </row>
    <row r="2" spans="1:12" ht="18" customHeight="1">
      <c r="A2" s="133" t="s">
        <v>182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5"/>
    </row>
    <row r="3" spans="1:12" ht="21.75" customHeight="1">
      <c r="A3" s="1" t="s">
        <v>183</v>
      </c>
      <c r="B3" s="1" t="s">
        <v>184</v>
      </c>
      <c r="C3" s="1" t="s">
        <v>105</v>
      </c>
      <c r="D3" s="1" t="s">
        <v>185</v>
      </c>
      <c r="E3" s="1" t="s">
        <v>186</v>
      </c>
      <c r="F3" s="1" t="s">
        <v>187</v>
      </c>
      <c r="G3" s="1" t="s">
        <v>188</v>
      </c>
      <c r="H3" s="1" t="s">
        <v>156</v>
      </c>
    </row>
    <row r="4" spans="1:12" ht="19.5" customHeight="1">
      <c r="A4" s="17" t="s">
        <v>189</v>
      </c>
      <c r="B4" s="17" t="s">
        <v>659</v>
      </c>
      <c r="C4" s="17" t="s">
        <v>190</v>
      </c>
      <c r="D4" s="21">
        <v>0.2</v>
      </c>
      <c r="E4" s="17">
        <v>18</v>
      </c>
      <c r="F4" s="17" t="s">
        <v>190</v>
      </c>
      <c r="G4" s="21">
        <v>0.1</v>
      </c>
      <c r="H4" s="17" t="s">
        <v>660</v>
      </c>
    </row>
    <row r="5" spans="1:12" ht="19.5" customHeight="1">
      <c r="A5" s="22" t="s">
        <v>191</v>
      </c>
      <c r="B5" s="22" t="s">
        <v>162</v>
      </c>
      <c r="C5" s="22" t="s">
        <v>192</v>
      </c>
      <c r="D5" s="24">
        <v>0.25</v>
      </c>
      <c r="E5" s="22">
        <v>12</v>
      </c>
      <c r="F5" s="22" t="s">
        <v>192</v>
      </c>
      <c r="G5" s="24">
        <v>0.1</v>
      </c>
      <c r="H5" s="22" t="s">
        <v>193</v>
      </c>
    </row>
    <row r="6" spans="1:12" ht="19.5" customHeight="1">
      <c r="A6" s="17" t="s">
        <v>194</v>
      </c>
      <c r="B6" s="17" t="s">
        <v>195</v>
      </c>
      <c r="C6" s="17" t="s">
        <v>196</v>
      </c>
      <c r="D6" s="21">
        <v>0.3</v>
      </c>
      <c r="E6" s="17">
        <v>6</v>
      </c>
      <c r="F6" s="17" t="s">
        <v>196</v>
      </c>
      <c r="G6" s="21">
        <v>0.1</v>
      </c>
      <c r="H6" s="17" t="s">
        <v>197</v>
      </c>
    </row>
    <row r="7" spans="1:12" ht="19.5" customHeight="1">
      <c r="A7" s="22" t="s">
        <v>198</v>
      </c>
      <c r="B7" s="22" t="s">
        <v>199</v>
      </c>
      <c r="C7" s="22" t="s">
        <v>200</v>
      </c>
      <c r="D7" s="24">
        <v>0.2</v>
      </c>
      <c r="E7" s="22">
        <v>5</v>
      </c>
      <c r="F7" s="22" t="s">
        <v>201</v>
      </c>
      <c r="G7" s="24">
        <v>0.2</v>
      </c>
      <c r="H7" s="22" t="s">
        <v>202</v>
      </c>
    </row>
    <row r="8" spans="1:12" ht="19.5" customHeight="1">
      <c r="A8" s="17" t="s">
        <v>203</v>
      </c>
      <c r="B8" s="17" t="s">
        <v>204</v>
      </c>
      <c r="C8" s="17" t="s">
        <v>205</v>
      </c>
      <c r="D8" s="21">
        <v>1</v>
      </c>
      <c r="E8" s="17">
        <v>1</v>
      </c>
      <c r="F8" s="17" t="s">
        <v>206</v>
      </c>
      <c r="G8" s="21">
        <v>0</v>
      </c>
      <c r="H8" s="17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ageMargins left="0.5" right="0.5" top="0.75" bottom="0.75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1000"/>
  <sheetViews>
    <sheetView showGridLines="0" workbookViewId="0">
      <selection activeCell="H8" sqref="H8"/>
    </sheetView>
  </sheetViews>
  <sheetFormatPr defaultColWidth="14.42578125" defaultRowHeight="15" customHeight="1"/>
  <cols>
    <col min="1" max="1" width="12" customWidth="1"/>
    <col min="2" max="6" width="10" customWidth="1"/>
    <col min="7" max="7" width="14" customWidth="1"/>
    <col min="8" max="8" width="24" customWidth="1"/>
    <col min="9" max="26" width="8.7109375" customWidth="1"/>
  </cols>
  <sheetData>
    <row r="1" spans="1:18" ht="37.5" customHeight="1">
      <c r="A1" s="132" t="s">
        <v>561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8" customHeight="1">
      <c r="A2" s="133" t="s">
        <v>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1:18" ht="24" customHeight="1">
      <c r="A3" s="189" t="s">
        <v>562</v>
      </c>
      <c r="B3" s="124"/>
      <c r="C3" s="124"/>
      <c r="D3" s="124"/>
      <c r="E3" s="124"/>
      <c r="F3" s="124"/>
      <c r="G3" s="124"/>
      <c r="H3" s="125"/>
    </row>
    <row r="4" spans="1:18" ht="19.5" customHeight="1">
      <c r="A4" s="186" t="s">
        <v>563</v>
      </c>
      <c r="B4" s="124"/>
      <c r="C4" s="124"/>
      <c r="D4" s="124"/>
      <c r="E4" s="124"/>
      <c r="F4" s="124"/>
      <c r="G4" s="125"/>
      <c r="H4" s="32">
        <f>SUM('💳 PAYMENTS Entery'!H11:H49967)</f>
        <v>2580000</v>
      </c>
    </row>
    <row r="5" spans="1:18" ht="19.5" customHeight="1">
      <c r="A5" s="187" t="s">
        <v>513</v>
      </c>
      <c r="B5" s="124"/>
      <c r="C5" s="124"/>
      <c r="D5" s="124"/>
      <c r="E5" s="124"/>
      <c r="F5" s="124"/>
      <c r="G5" s="125"/>
      <c r="H5" s="33">
        <f>-IFERROR(SUMIF('🧾 EXPENSES ← Enter Here'!E:E,"Material",'🧾 EXPENSES ← Enter Here'!J:J),0)</f>
        <v>0</v>
      </c>
    </row>
    <row r="6" spans="1:18" ht="19.5" customHeight="1">
      <c r="A6" s="186" t="s">
        <v>514</v>
      </c>
      <c r="B6" s="124"/>
      <c r="C6" s="124"/>
      <c r="D6" s="124"/>
      <c r="E6" s="124"/>
      <c r="F6" s="124"/>
      <c r="G6" s="125"/>
      <c r="H6" s="32">
        <f>-IFERROR(SUMIF('🧾 EXPENSES ← Enter Here'!E:E,"Labor",'🧾 EXPENSES ← Enter Here'!J:J),0)</f>
        <v>0</v>
      </c>
    </row>
    <row r="7" spans="1:18" ht="19.5" customHeight="1">
      <c r="A7" s="187" t="s">
        <v>564</v>
      </c>
      <c r="B7" s="124"/>
      <c r="C7" s="124"/>
      <c r="D7" s="124"/>
      <c r="E7" s="124"/>
      <c r="F7" s="124"/>
      <c r="G7" s="125"/>
      <c r="H7" s="33">
        <f>-IFERROR(SUMIF('🧾 EXPENSES ← Enter Here'!E:E,"Admin",'🧾 EXPENSES ← Enter Here'!J:J),0)</f>
        <v>0</v>
      </c>
    </row>
    <row r="8" spans="1:18" ht="19.5" customHeight="1">
      <c r="A8" s="186" t="s">
        <v>565</v>
      </c>
      <c r="B8" s="124"/>
      <c r="C8" s="124"/>
      <c r="D8" s="124"/>
      <c r="E8" s="124"/>
      <c r="F8" s="124"/>
      <c r="G8" s="125"/>
      <c r="H8" s="32">
        <f>-IFERROR(SUMIF('🧾 EXPENSES ← Enter Here'!E:E,"Other",'🧾 EXPENSES ← Enter Here'!J:J),0)</f>
        <v>-4060000</v>
      </c>
    </row>
    <row r="9" spans="1:18" ht="24" customHeight="1">
      <c r="A9" s="189" t="s">
        <v>566</v>
      </c>
      <c r="B9" s="124"/>
      <c r="C9" s="124"/>
      <c r="D9" s="124"/>
      <c r="E9" s="124"/>
      <c r="F9" s="124"/>
      <c r="G9" s="125"/>
      <c r="H9" s="37">
        <f>SUM(H4:H8)</f>
        <v>-1480000</v>
      </c>
    </row>
    <row r="11" spans="1:18" ht="24" customHeight="1">
      <c r="A11" s="189" t="s">
        <v>567</v>
      </c>
      <c r="B11" s="124"/>
      <c r="C11" s="124"/>
      <c r="D11" s="124"/>
      <c r="E11" s="124"/>
      <c r="F11" s="124"/>
      <c r="G11" s="124"/>
      <c r="H11" s="125"/>
    </row>
    <row r="12" spans="1:18" ht="19.5" customHeight="1">
      <c r="A12" s="186" t="s">
        <v>568</v>
      </c>
      <c r="B12" s="124"/>
      <c r="C12" s="124"/>
      <c r="D12" s="124"/>
      <c r="E12" s="124"/>
      <c r="F12" s="124"/>
      <c r="G12" s="125"/>
      <c r="H12" s="32">
        <v>0</v>
      </c>
    </row>
    <row r="13" spans="1:18" ht="19.5" customHeight="1">
      <c r="A13" s="187" t="s">
        <v>569</v>
      </c>
      <c r="B13" s="124"/>
      <c r="C13" s="124"/>
      <c r="D13" s="124"/>
      <c r="E13" s="124"/>
      <c r="F13" s="124"/>
      <c r="G13" s="125"/>
      <c r="H13" s="33">
        <v>0</v>
      </c>
    </row>
    <row r="14" spans="1:18" ht="24" customHeight="1">
      <c r="A14" s="190" t="s">
        <v>570</v>
      </c>
      <c r="B14" s="124"/>
      <c r="C14" s="124"/>
      <c r="D14" s="124"/>
      <c r="E14" s="124"/>
      <c r="F14" s="124"/>
      <c r="G14" s="125"/>
      <c r="H14" s="39">
        <f>SUM(H12:H13)</f>
        <v>0</v>
      </c>
    </row>
    <row r="16" spans="1:18" ht="24" customHeight="1">
      <c r="A16" s="189" t="s">
        <v>571</v>
      </c>
      <c r="B16" s="124"/>
      <c r="C16" s="124"/>
      <c r="D16" s="124"/>
      <c r="E16" s="124"/>
      <c r="F16" s="124"/>
      <c r="G16" s="124"/>
      <c r="H16" s="125"/>
    </row>
    <row r="17" spans="1:8" ht="19.5" customHeight="1">
      <c r="A17" s="186" t="s">
        <v>555</v>
      </c>
      <c r="B17" s="124"/>
      <c r="C17" s="124"/>
      <c r="D17" s="124"/>
      <c r="E17" s="124"/>
      <c r="F17" s="124"/>
      <c r="G17" s="125"/>
      <c r="H17" s="32">
        <f>IFERROR(SUM('👥 Partners'!F8:F12),0)</f>
        <v>2000000</v>
      </c>
    </row>
    <row r="18" spans="1:8" ht="19.5" customHeight="1">
      <c r="A18" s="187" t="s">
        <v>572</v>
      </c>
      <c r="B18" s="124"/>
      <c r="C18" s="124"/>
      <c r="D18" s="124"/>
      <c r="E18" s="124"/>
      <c r="F18" s="124"/>
      <c r="G18" s="125"/>
      <c r="H18" s="33">
        <f>-IFERROR(SUM('👥 Partners'!I8:I12),0)</f>
        <v>0</v>
      </c>
    </row>
    <row r="19" spans="1:8" ht="24" customHeight="1">
      <c r="A19" s="191" t="s">
        <v>573</v>
      </c>
      <c r="B19" s="124"/>
      <c r="C19" s="124"/>
      <c r="D19" s="124"/>
      <c r="E19" s="124"/>
      <c r="F19" s="124"/>
      <c r="G19" s="125"/>
      <c r="H19" s="38">
        <f>SUM(H17:H18)</f>
        <v>2000000</v>
      </c>
    </row>
    <row r="21" spans="1:8" ht="24" customHeight="1">
      <c r="A21" s="185" t="s">
        <v>574</v>
      </c>
      <c r="B21" s="124"/>
      <c r="C21" s="124"/>
      <c r="D21" s="124"/>
      <c r="E21" s="124"/>
      <c r="F21" s="124"/>
      <c r="G21" s="124"/>
      <c r="H21" s="125"/>
    </row>
    <row r="22" spans="1:8" ht="19.5" customHeight="1">
      <c r="A22" s="186" t="s">
        <v>575</v>
      </c>
      <c r="B22" s="124"/>
      <c r="C22" s="124"/>
      <c r="D22" s="124"/>
      <c r="E22" s="124"/>
      <c r="F22" s="124"/>
      <c r="G22" s="125"/>
      <c r="H22" s="32">
        <v>0</v>
      </c>
    </row>
    <row r="23" spans="1:8" ht="19.5" customHeight="1">
      <c r="A23" s="187" t="s">
        <v>576</v>
      </c>
      <c r="B23" s="124"/>
      <c r="C23" s="124"/>
      <c r="D23" s="124"/>
      <c r="E23" s="124"/>
      <c r="F23" s="124"/>
      <c r="G23" s="125"/>
      <c r="H23" s="33">
        <f>H9+H14+H19</f>
        <v>520000</v>
      </c>
    </row>
    <row r="24" spans="1:8" ht="24" customHeight="1">
      <c r="A24" s="188" t="s">
        <v>577</v>
      </c>
      <c r="B24" s="124"/>
      <c r="C24" s="124"/>
      <c r="D24" s="124"/>
      <c r="E24" s="124"/>
      <c r="F24" s="124"/>
      <c r="G24" s="125"/>
      <c r="H24" s="36">
        <f>H22+H23</f>
        <v>520000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R1"/>
    <mergeCell ref="A2:R2"/>
    <mergeCell ref="A3:H3"/>
    <mergeCell ref="A4:G4"/>
    <mergeCell ref="A5:G5"/>
    <mergeCell ref="A6:G6"/>
    <mergeCell ref="A7:G7"/>
    <mergeCell ref="A17:G17"/>
    <mergeCell ref="A18:G18"/>
    <mergeCell ref="A19:G19"/>
    <mergeCell ref="A21:H21"/>
    <mergeCell ref="A22:G22"/>
    <mergeCell ref="A23:G23"/>
    <mergeCell ref="A24:G24"/>
    <mergeCell ref="A8:G8"/>
    <mergeCell ref="A9:G9"/>
    <mergeCell ref="A11:H11"/>
    <mergeCell ref="A12:G12"/>
    <mergeCell ref="A13:G13"/>
    <mergeCell ref="A14:G14"/>
    <mergeCell ref="A16:H16"/>
  </mergeCells>
  <pageMargins left="0.5" right="0.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</vt:i4>
      </vt:variant>
    </vt:vector>
  </HeadingPairs>
  <TitlesOfParts>
    <vt:vector size="35" baseType="lpstr">
      <vt:lpstr>📖 HOW TO USE</vt:lpstr>
      <vt:lpstr>📊 DASHBOARD</vt:lpstr>
      <vt:lpstr>🏗️ Projects</vt:lpstr>
      <vt:lpstr>👥 Partners</vt:lpstr>
      <vt:lpstr>🏘️ Flat Register</vt:lpstr>
      <vt:lpstr>👤 Customers</vt:lpstr>
      <vt:lpstr>📅 Installments AUTO</vt:lpstr>
      <vt:lpstr>📋 Booking Register</vt:lpstr>
      <vt:lpstr>📄 Customer Statement</vt:lpstr>
      <vt:lpstr>📒 Payment Register</vt:lpstr>
      <vt:lpstr>📋 Receivables AUTO</vt:lpstr>
      <vt:lpstr>🏪 Vendors</vt:lpstr>
      <vt:lpstr>👷 Contractors</vt:lpstr>
      <vt:lpstr>📦 Materials</vt:lpstr>
      <vt:lpstr>📦 Inventory AUTO</vt:lpstr>
      <vt:lpstr>📦 PURCHASES ← Enter Here</vt:lpstr>
      <vt:lpstr>🏗️ Site Log</vt:lpstr>
      <vt:lpstr>📤 Payables AUTO</vt:lpstr>
      <vt:lpstr>💳 PAYMENTS Entery</vt:lpstr>
      <vt:lpstr>🏦 Bank Book AUTO</vt:lpstr>
      <vt:lpstr>💵 Cash Book AUTO</vt:lpstr>
      <vt:lpstr>📒 General Ledger AUTO</vt:lpstr>
      <vt:lpstr>⚖️ Trial Balance AUTO</vt:lpstr>
      <vt:lpstr>📊 P&amp;L AUTO</vt:lpstr>
      <vt:lpstr>🏛️ Balance Sheet AUTO</vt:lpstr>
      <vt:lpstr>📈 Sales AUTO</vt:lpstr>
      <vt:lpstr>🔍 Audit Trail</vt:lpstr>
      <vt:lpstr>🧾 EXPENSES ← Enter Here</vt:lpstr>
      <vt:lpstr>📋 Pay Plans</vt:lpstr>
      <vt:lpstr>Sheet1</vt:lpstr>
      <vt:lpstr>💧 Cash Flow AUTO</vt:lpstr>
      <vt:lpstr>'📄 Customer Statement'!Print_Area</vt:lpstr>
      <vt:lpstr>'📄 Customer Statement'!Print_Titles</vt:lpstr>
      <vt:lpstr>'📋 Booking Register'!Print_Titles</vt:lpstr>
      <vt:lpstr>'📒 Payment Register'!Print_Titles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</cp:lastModifiedBy>
  <dcterms:created xsi:type="dcterms:W3CDTF">2026-07-15T11:43:47Z</dcterms:created>
  <dcterms:modified xsi:type="dcterms:W3CDTF">2026-07-24T17:13:22Z</dcterms:modified>
</cp:coreProperties>
</file>